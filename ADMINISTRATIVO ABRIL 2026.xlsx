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20" yWindow="-120" windowWidth="23256" windowHeight="13140" tabRatio="1000"/>
  </bookViews>
  <sheets>
    <sheet name="RESUMEN" sheetId="1" r:id="rId1"/>
    <sheet name="GASTOS VARIOS" sheetId="7" r:id="rId2"/>
    <sheet name="DOCENTES Y CLASES " sheetId="3" r:id="rId3"/>
    <sheet name="TALLERES " sheetId="12" r:id="rId4"/>
    <sheet name="ALQUILER DE SALA" sheetId="9" r:id="rId5"/>
    <sheet name="ALUMNAS " sheetId="4" r:id="rId6"/>
    <sheet name="Hoja2" sheetId="14" r:id="rId7"/>
    <sheet name="ARANCELES" sheetId="2" r:id="rId8"/>
    <sheet name="OPCIONES" sheetId="6" r:id="rId9"/>
    <sheet name="PUBLICIDAD" sheetId="10" r:id="rId10"/>
    <sheet name="Hoja1" sheetId="13" r:id="rId1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" i="1" l="1"/>
  <c r="C11" i="1"/>
  <c r="C9" i="1"/>
  <c r="I2" i="9"/>
  <c r="H14" i="9"/>
  <c r="H12" i="9"/>
  <c r="F10" i="9"/>
  <c r="H10" i="9"/>
  <c r="H8" i="9"/>
  <c r="H13" i="9"/>
  <c r="H15" i="9"/>
  <c r="H16" i="9"/>
  <c r="H17" i="9"/>
  <c r="H18" i="9"/>
  <c r="H19" i="9"/>
  <c r="H20" i="9"/>
  <c r="H21" i="9"/>
  <c r="H22" i="9"/>
  <c r="H23" i="9"/>
  <c r="H24" i="9"/>
  <c r="H25" i="9"/>
  <c r="H26" i="9"/>
  <c r="N4" i="9"/>
  <c r="N3" i="9"/>
  <c r="H9" i="9"/>
  <c r="N22" i="4"/>
  <c r="N20" i="4"/>
  <c r="N21" i="4"/>
  <c r="N23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6" i="4"/>
  <c r="O6" i="4"/>
  <c r="N8" i="4"/>
  <c r="N9" i="4"/>
  <c r="N10" i="4"/>
  <c r="N11" i="4"/>
  <c r="N12" i="4"/>
  <c r="N13" i="4"/>
  <c r="N14" i="4"/>
  <c r="N15" i="4"/>
  <c r="N16" i="4"/>
  <c r="N17" i="4"/>
  <c r="N18" i="4"/>
  <c r="N19" i="4"/>
  <c r="O7" i="4"/>
  <c r="N7" i="4"/>
  <c r="O3" i="4" l="1"/>
  <c r="N3" i="4"/>
  <c r="I13" i="1"/>
  <c r="B15" i="1"/>
  <c r="B9" i="1"/>
  <c r="D10" i="9"/>
  <c r="D8" i="9"/>
  <c r="D9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7" i="9"/>
  <c r="G13" i="1"/>
  <c r="G12" i="1"/>
  <c r="E30" i="2"/>
  <c r="E29" i="2"/>
  <c r="C28" i="2"/>
  <c r="G9" i="2"/>
  <c r="E4" i="2"/>
  <c r="E5" i="2"/>
  <c r="N16" i="1"/>
  <c r="F13" i="3"/>
  <c r="I12" i="1"/>
  <c r="H12" i="1"/>
  <c r="I9" i="3"/>
  <c r="H9" i="3"/>
  <c r="G11" i="1"/>
  <c r="H11" i="1"/>
  <c r="I11" i="1"/>
  <c r="H10" i="1"/>
  <c r="I10" i="1"/>
  <c r="G10" i="1"/>
  <c r="O20" i="4"/>
  <c r="O21" i="4"/>
  <c r="O22" i="4"/>
  <c r="L3" i="9"/>
  <c r="N12" i="9"/>
  <c r="D22" i="1"/>
  <c r="C22" i="1"/>
  <c r="I13" i="4"/>
  <c r="T12" i="10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6" i="4"/>
  <c r="H3" i="2"/>
  <c r="G3" i="2"/>
  <c r="I2" i="2"/>
  <c r="I1" i="2"/>
  <c r="H1" i="2"/>
  <c r="G1" i="2"/>
  <c r="F1" i="2"/>
  <c r="E1" i="2"/>
  <c r="J19" i="10"/>
  <c r="O10" i="10"/>
  <c r="O12" i="10" s="1"/>
  <c r="T13" i="10"/>
  <c r="U13" i="10" s="1"/>
  <c r="J10" i="10"/>
  <c r="K10" i="10"/>
  <c r="J13" i="10"/>
  <c r="D19" i="10"/>
  <c r="D23" i="10" s="1"/>
  <c r="H16" i="6"/>
  <c r="I7" i="4"/>
  <c r="I8" i="4"/>
  <c r="I9" i="4"/>
  <c r="I10" i="4"/>
  <c r="I11" i="4"/>
  <c r="I12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6" i="4"/>
  <c r="E3" i="7"/>
  <c r="E2" i="7"/>
  <c r="E1" i="7"/>
  <c r="B11" i="1" s="1"/>
  <c r="B12" i="1" s="1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A12" i="6"/>
  <c r="A11" i="6"/>
  <c r="A10" i="6"/>
  <c r="A9" i="6"/>
  <c r="O13" i="4" s="1"/>
  <c r="A13" i="6"/>
  <c r="A8" i="6"/>
  <c r="A7" i="6"/>
  <c r="A6" i="6"/>
  <c r="B5" i="6"/>
  <c r="B3" i="6"/>
  <c r="B4" i="6"/>
  <c r="B2" i="6"/>
  <c r="A18" i="6"/>
  <c r="A17" i="6"/>
  <c r="A16" i="6"/>
  <c r="A15" i="6"/>
  <c r="A14" i="6"/>
  <c r="A5" i="6"/>
  <c r="A3" i="6"/>
  <c r="A4" i="6"/>
  <c r="A2" i="6"/>
  <c r="O12" i="4"/>
  <c r="O2" i="4" l="1"/>
  <c r="N2" i="4"/>
  <c r="N1" i="4" s="1"/>
  <c r="B25" i="1"/>
  <c r="C15" i="1"/>
  <c r="I1" i="9"/>
  <c r="C12" i="1"/>
  <c r="C25" i="1" s="1"/>
  <c r="O11" i="4"/>
  <c r="O15" i="4"/>
  <c r="O8" i="4"/>
  <c r="T15" i="10"/>
  <c r="O18" i="4"/>
  <c r="O9" i="4"/>
  <c r="O16" i="4"/>
  <c r="O17" i="4"/>
  <c r="O14" i="4"/>
  <c r="O19" i="4"/>
  <c r="O10" i="4"/>
  <c r="I14" i="1"/>
  <c r="D12" i="1" s="1"/>
  <c r="D25" i="1" s="1"/>
  <c r="I3" i="9"/>
  <c r="D15" i="1" s="1"/>
  <c r="B14" i="1" l="1"/>
  <c r="B18" i="1" s="1"/>
  <c r="B24" i="1" s="1"/>
  <c r="B26" i="1" s="1"/>
  <c r="G19" i="1" s="1"/>
  <c r="C14" i="1"/>
  <c r="C18" i="1" s="1"/>
  <c r="O1" i="4"/>
  <c r="D14" i="1" s="1"/>
  <c r="D18" i="1" s="1"/>
  <c r="D24" i="1" s="1"/>
  <c r="C24" i="1" l="1"/>
  <c r="C26" i="1" s="1"/>
  <c r="D26" i="1"/>
  <c r="H20" i="1" l="1"/>
  <c r="H28" i="1" s="1"/>
  <c r="H21" i="1"/>
  <c r="H29" i="1" s="1"/>
  <c r="K29" i="1" s="1"/>
  <c r="H19" i="1"/>
  <c r="H27" i="1" s="1"/>
  <c r="G20" i="1"/>
  <c r="G28" i="1" s="1"/>
  <c r="G21" i="1"/>
  <c r="G29" i="1" s="1"/>
  <c r="I19" i="1"/>
  <c r="I27" i="1" s="1"/>
  <c r="I20" i="1"/>
  <c r="I28" i="1" s="1"/>
  <c r="I21" i="1"/>
  <c r="I29" i="1" s="1"/>
  <c r="H22" i="1" l="1"/>
  <c r="G22" i="1"/>
  <c r="G27" i="1"/>
  <c r="I22" i="1"/>
</calcChain>
</file>

<file path=xl/comments1.xml><?xml version="1.0" encoding="utf-8"?>
<comments xmlns="http://schemas.openxmlformats.org/spreadsheetml/2006/main">
  <authors>
    <author>Yaneiska</author>
  </authors>
  <commentList>
    <comment ref="D7" authorId="0">
      <text>
        <r>
          <rPr>
            <b/>
            <sz val="9"/>
            <color indexed="81"/>
            <rFont val="Tahoma"/>
            <charset val="1"/>
          </rPr>
          <t>Yaneiska:</t>
        </r>
        <r>
          <rPr>
            <sz val="9"/>
            <color indexed="81"/>
            <rFont val="Tahoma"/>
            <charset val="1"/>
          </rPr>
          <t xml:space="preserve">
pago 84000
</t>
        </r>
      </text>
    </comment>
  </commentList>
</comments>
</file>

<file path=xl/sharedStrings.xml><?xml version="1.0" encoding="utf-8"?>
<sst xmlns="http://schemas.openxmlformats.org/spreadsheetml/2006/main" count="2144" uniqueCount="299">
  <si>
    <t>GASTOS</t>
  </si>
  <si>
    <t>Alquiler</t>
  </si>
  <si>
    <t>Limpieza</t>
  </si>
  <si>
    <t>Pago docentes</t>
  </si>
  <si>
    <t>ARANCELES</t>
  </si>
  <si>
    <t>Profesorado danza del vientre básico (una vez x semana+teórico mensual)</t>
  </si>
  <si>
    <t>Profesorado danza del vientre intensivo (2 veces por semana+teóricos)</t>
  </si>
  <si>
    <t>Tecnicatura en composición coreográfica en ddv fusión</t>
  </si>
  <si>
    <t>COSTO</t>
  </si>
  <si>
    <t>Publicidad</t>
  </si>
  <si>
    <t>NOMBRE</t>
  </si>
  <si>
    <t>EDAD</t>
  </si>
  <si>
    <t>DOCENTE</t>
  </si>
  <si>
    <t>PAGO DOCENTES</t>
  </si>
  <si>
    <t>Flor</t>
  </si>
  <si>
    <t>Yaneiska</t>
  </si>
  <si>
    <t>Pilates mat</t>
  </si>
  <si>
    <t>Yoga y elongación </t>
  </si>
  <si>
    <t>Danza del vientre </t>
  </si>
  <si>
    <t>Perfeccionamiento para bailarinas+lab de composición </t>
  </si>
  <si>
    <t>Danza teatro</t>
  </si>
  <si>
    <t>Perfecc. Téc. y expresivo para bailarinas + lab. de composición coreográfica</t>
  </si>
  <si>
    <t>COMBOS FORMACIONES</t>
  </si>
  <si>
    <t>HORA DOCENTE</t>
  </si>
  <si>
    <t>1 vez</t>
  </si>
  <si>
    <t>2 veces</t>
  </si>
  <si>
    <t>1 actividad</t>
  </si>
  <si>
    <t>2 actividades</t>
  </si>
  <si>
    <t>Profesorado básico</t>
  </si>
  <si>
    <t>Profesorado intensivo</t>
  </si>
  <si>
    <t>Tecnicatura</t>
  </si>
  <si>
    <t xml:space="preserve">Profesorado Básico +Tecnicatura </t>
  </si>
  <si>
    <t xml:space="preserve">Profesorado Intensivo +Tecnicatura </t>
  </si>
  <si>
    <t>PROFESORADO + TECNICATURA</t>
  </si>
  <si>
    <t>CLASES</t>
  </si>
  <si>
    <t>Pilates</t>
  </si>
  <si>
    <t>Avanzado</t>
  </si>
  <si>
    <t>Intermedio</t>
  </si>
  <si>
    <t xml:space="preserve">Ingreso </t>
  </si>
  <si>
    <t>Yoga</t>
  </si>
  <si>
    <t>Principiante</t>
  </si>
  <si>
    <t>Jime</t>
  </si>
  <si>
    <t>Principiante/Intermedio</t>
  </si>
  <si>
    <t>Intermedio/Avanzado</t>
  </si>
  <si>
    <t>Perfeccionamiento</t>
  </si>
  <si>
    <t>Instructorado</t>
  </si>
  <si>
    <t>Psicomotricidad</t>
  </si>
  <si>
    <t>Multinivel</t>
  </si>
  <si>
    <t>COMBO</t>
  </si>
  <si>
    <t>CLASES 1 vez</t>
  </si>
  <si>
    <t>MARZO</t>
  </si>
  <si>
    <t>ABRIL</t>
  </si>
  <si>
    <t>Profesora</t>
  </si>
  <si>
    <t>Horas Mensuales</t>
  </si>
  <si>
    <t>TOTAL MAYO</t>
  </si>
  <si>
    <t xml:space="preserve">BALANCE </t>
  </si>
  <si>
    <t xml:space="preserve">Jime </t>
  </si>
  <si>
    <t>Totl pago docentes</t>
  </si>
  <si>
    <t>PROFE</t>
  </si>
  <si>
    <t>INGRESOS</t>
  </si>
  <si>
    <t>ALQUILER DE SALA</t>
  </si>
  <si>
    <t>TOTAL GASTOS</t>
  </si>
  <si>
    <t>TOTAL INGRESOS</t>
  </si>
  <si>
    <t>BALANCE</t>
  </si>
  <si>
    <t>PAGOS</t>
  </si>
  <si>
    <t>PAGO SOCIEDAD</t>
  </si>
  <si>
    <t xml:space="preserve">PAGO TOTALES DEL ESTUDIO </t>
  </si>
  <si>
    <t>PERSONAL</t>
  </si>
  <si>
    <t>DOCENTES Y 
CLASES EJECUTADAS</t>
  </si>
  <si>
    <t>Varios</t>
  </si>
  <si>
    <t>TALLERES EXTRA</t>
  </si>
  <si>
    <t>GASTOS VARIOS</t>
  </si>
  <si>
    <t xml:space="preserve">TICKET </t>
  </si>
  <si>
    <t xml:space="preserve">COMPRA </t>
  </si>
  <si>
    <t>TOTAL ABRIL</t>
  </si>
  <si>
    <t>HORAS</t>
  </si>
  <si>
    <t>TELEFONO</t>
  </si>
  <si>
    <t>TOTAL</t>
  </si>
  <si>
    <t>COSTO X HORA</t>
  </si>
  <si>
    <t>Expensas</t>
  </si>
  <si>
    <t>DIRECCIÓN</t>
  </si>
  <si>
    <t>MAIL</t>
  </si>
  <si>
    <t>NOMBRE Y APELLIDO</t>
  </si>
  <si>
    <t>Camila Tomassetti</t>
  </si>
  <si>
    <t>Mariano Acha 2820 1C. CABA</t>
  </si>
  <si>
    <t>cameela@live.com.ar</t>
  </si>
  <si>
    <t>Paula Alejandra Caceres</t>
  </si>
  <si>
    <t>Belaustegui 4226 1D, Floresta, CABA</t>
  </si>
  <si>
    <t>paucaceres27@gmail.com</t>
  </si>
  <si>
    <t>ALUMNAS Y ACTIVIDADES</t>
  </si>
  <si>
    <t>¿PAGO SEÑA?</t>
  </si>
  <si>
    <t>NO</t>
  </si>
  <si>
    <t>señas</t>
  </si>
  <si>
    <t xml:space="preserve">Pilates, Yoga, Arabe, Perfeccionamiento,Psicomotricidad, Danza teatro </t>
  </si>
  <si>
    <t>Pilates y Danza Arabe</t>
  </si>
  <si>
    <t>Pilates y Perfeccionamiento</t>
  </si>
  <si>
    <t>Pilates y Psicomotricidad</t>
  </si>
  <si>
    <t>Pilates y Danza Teatro</t>
  </si>
  <si>
    <t>Yoga y Perfeccionamiento</t>
  </si>
  <si>
    <t>Yoga y Danza Arabe</t>
  </si>
  <si>
    <t>Yoga y Psicomotricidad</t>
  </si>
  <si>
    <t>Yogay Danza Teatro</t>
  </si>
  <si>
    <t>Danza Arabe y Perfeccionamiento</t>
  </si>
  <si>
    <t>Danza Arabe y Psicomotricidad</t>
  </si>
  <si>
    <t>Danza Arabe y Danza Teatro</t>
  </si>
  <si>
    <t>Perfeccionamiento y Psicomotricidad</t>
  </si>
  <si>
    <t>NO APLICA</t>
  </si>
  <si>
    <t>Tecnicatura y Pilates</t>
  </si>
  <si>
    <t>Tecnicatura y Danza Arabe</t>
  </si>
  <si>
    <t>Actividades</t>
  </si>
  <si>
    <t xml:space="preserve">Tecnicatura, Pilates, Yoga, Arabe, Perfeccionamiento,Psicomotricidad, Danza teatro </t>
  </si>
  <si>
    <t>Tecnicatura y Perfeccionamiento</t>
  </si>
  <si>
    <t>Tecnicatura y Psicomotricidad</t>
  </si>
  <si>
    <t>Tecnicatura y Danza Teatro</t>
  </si>
  <si>
    <t xml:space="preserve">Jime, </t>
  </si>
  <si>
    <t>Yaneiska,</t>
  </si>
  <si>
    <t>Jime,</t>
  </si>
  <si>
    <t>Jime, Yaneiska,</t>
  </si>
  <si>
    <t>Nivel ddv</t>
  </si>
  <si>
    <t>Yaneiska, Jime,</t>
  </si>
  <si>
    <t>Danza Arabe</t>
  </si>
  <si>
    <t>Jufre 250 piso 12 A</t>
  </si>
  <si>
    <t>tetraktys1234@gmail.com</t>
  </si>
  <si>
    <t>Clase de prueba</t>
  </si>
  <si>
    <t>Facebk Q62j43llm Q62j Usd 2,09 921002e</t>
  </si>
  <si>
    <t>Facebk *r274fybmm2 Usd 1,83 092096e</t>
  </si>
  <si>
    <t>Facebk *tsxryyplm2 Usd 2,74 309407e</t>
  </si>
  <si>
    <t>Facebk *7nsz72lmm2 Usd 2,74 632585e</t>
  </si>
  <si>
    <t>Facebk *lcbchybmm2 Usd 2,57 310110e</t>
  </si>
  <si>
    <t>Facebk *hr9473llm2 Usd 2,74 754172e</t>
  </si>
  <si>
    <t>Facebk *4mgh3ztlm2 Usd 4,25 324495e</t>
  </si>
  <si>
    <t>Facebk *ffdd2zplm2 Usd 4,25 622163e</t>
  </si>
  <si>
    <t>Facebk *49grkybmm2 Usd 6,08 641560e</t>
  </si>
  <si>
    <t>Facebk *nscgpz3mm2 Usd 6,08 246003e</t>
  </si>
  <si>
    <t>Facebk *9smlsybmm2 Usd 9,08 964438e</t>
  </si>
  <si>
    <t>Facebk *m8bhezplm2 Usd 9,07 903185e</t>
  </si>
  <si>
    <t>Facebk *ymdd424mm2 Usd 9,04 761972e</t>
  </si>
  <si>
    <t>Facebk *rpq8w3llm2 Usd 9,01 910124e</t>
  </si>
  <si>
    <t>Facebk *zdq2szxlm2 Usd 9,91 105211e</t>
  </si>
  <si>
    <t>total</t>
  </si>
  <si>
    <t>Camil Camarero</t>
  </si>
  <si>
    <t>B. F. Moreno 1828</t>
  </si>
  <si>
    <t>camilcamarero@gmail.com</t>
  </si>
  <si>
    <t>PAGO</t>
  </si>
  <si>
    <t xml:space="preserve">Aporte de Jime </t>
  </si>
  <si>
    <t>saldo a favor</t>
  </si>
  <si>
    <t>Facebk *fezqnzbmm2</t>
  </si>
  <si>
    <t>Facebk *49geb4llm2</t>
  </si>
  <si>
    <t>Facebk *xlzn94llm2</t>
  </si>
  <si>
    <t>Facebk *4939n24mm2</t>
  </si>
  <si>
    <t>Facebk *rp7zd24mm2</t>
  </si>
  <si>
    <t>Facebk *h76p728mm2 Usd 14,94 093111e</t>
  </si>
  <si>
    <t>PUBLICIDAD</t>
  </si>
  <si>
    <t>FEBRERO</t>
  </si>
  <si>
    <t>Saldo a favor</t>
  </si>
  <si>
    <t>A pagar</t>
  </si>
  <si>
    <t>FACILITADOR</t>
  </si>
  <si>
    <t>FECHA</t>
  </si>
  <si>
    <t xml:space="preserve">TALLERES </t>
  </si>
  <si>
    <t>Incriptas</t>
  </si>
  <si>
    <t>Nombre</t>
  </si>
  <si>
    <t>Mail</t>
  </si>
  <si>
    <t>Pago</t>
  </si>
  <si>
    <t>Ganancia</t>
  </si>
  <si>
    <t xml:space="preserve">Lola montalban </t>
  </si>
  <si>
    <t>11 6754-8732</t>
  </si>
  <si>
    <t xml:space="preserve">lolamontalban.psi@gmail.com </t>
  </si>
  <si>
    <t>Maria Cecilia Tomasini</t>
  </si>
  <si>
    <t>Paysandu 2095</t>
  </si>
  <si>
    <t>Facebk *acszy4llm2 Usd 32,39 263820e</t>
  </si>
  <si>
    <t>Facebk *a4st73ylm2 Usd 31,36 227170e</t>
  </si>
  <si>
    <t>Facebk *4zmtu4qtg2 Usd 1,75 624138e</t>
  </si>
  <si>
    <t>Facebk *km7vb3usg2 Usd 1,75 162052e</t>
  </si>
  <si>
    <t>Facebk *uja6278tg2 Usd 1,95 853487e</t>
  </si>
  <si>
    <t>Facebk *v39tz68tg2 Usd 1,75 656286e</t>
  </si>
  <si>
    <t>DIA</t>
  </si>
  <si>
    <t>SI</t>
  </si>
  <si>
    <t>auspiciantes</t>
  </si>
  <si>
    <t>anita</t>
  </si>
  <si>
    <t>talentos</t>
  </si>
  <si>
    <t>lady producciones</t>
  </si>
  <si>
    <t>winy</t>
  </si>
  <si>
    <t>ph.geralsepu</t>
  </si>
  <si>
    <t>yaneiskabelandria</t>
  </si>
  <si>
    <t>arabia dance</t>
  </si>
  <si>
    <t>juli</t>
  </si>
  <si>
    <t>shurkan</t>
  </si>
  <si>
    <t>creativanails</t>
  </si>
  <si>
    <t>yanebeladane</t>
  </si>
  <si>
    <t xml:space="preserve">jg </t>
  </si>
  <si>
    <t>caderines.estefani</t>
  </si>
  <si>
    <t>shared</t>
  </si>
  <si>
    <t>nubia.danza</t>
  </si>
  <si>
    <t>romina ostellino</t>
  </si>
  <si>
    <t>adaradancewear</t>
  </si>
  <si>
    <t>czyk.lenceria</t>
  </si>
  <si>
    <t>coffee danse</t>
  </si>
  <si>
    <t>faikam producciones</t>
  </si>
  <si>
    <t>CUENTAS X COBRAR</t>
  </si>
  <si>
    <t>ACTIVOS</t>
  </si>
  <si>
    <t>PASIVOS</t>
  </si>
  <si>
    <t>TOTAL CXC</t>
  </si>
  <si>
    <t>JUNIO</t>
  </si>
  <si>
    <t>Paulina Soledad Puglia</t>
  </si>
  <si>
    <t>pp.estilistaunisex@hotmail.com</t>
  </si>
  <si>
    <t>Ciudadela 3795 parque leloir</t>
  </si>
  <si>
    <t>Maria Celeste Gomez</t>
  </si>
  <si>
    <t>Calderón de la Barca 1750</t>
  </si>
  <si>
    <t>macelestegomez.z@gmail.com</t>
  </si>
  <si>
    <t>11 3686-0499</t>
  </si>
  <si>
    <t>PRUEBA</t>
  </si>
  <si>
    <t>CLASE DE PRUEBA</t>
  </si>
  <si>
    <t>PAGOS CXC</t>
  </si>
  <si>
    <t>Facebk *ntxdp6qtg2 Usd 2,55 652582e</t>
  </si>
  <si>
    <t>Facebk *u39lq6qtg2 Usd 2,55 610956e</t>
  </si>
  <si>
    <t>Facebk *uv86w88tg2 Usd 2,54 567361e</t>
  </si>
  <si>
    <t>Facebk *cuk6a7ctg2 Usd 3,95 853545e</t>
  </si>
  <si>
    <t>Facebk *lsbqv6qtg2 Usd 1,42 262786e</t>
  </si>
  <si>
    <t>Facebk *8r2m764tg2 Usd 3,92 056169e</t>
  </si>
  <si>
    <t>Facebk *uvj826usg2 Usd 5,58 544418e</t>
  </si>
  <si>
    <t>Facebk *qjpas5gtg2 Usd 8,36 708079e</t>
  </si>
  <si>
    <t>A favor:</t>
  </si>
  <si>
    <t>A Pagar</t>
  </si>
  <si>
    <t>Belly movs Y TALLER COREOGRAFICO DERBAKE</t>
  </si>
  <si>
    <t xml:space="preserve">Pago </t>
  </si>
  <si>
    <t>NINA</t>
  </si>
  <si>
    <t>Tribal</t>
  </si>
  <si>
    <t>Asly</t>
  </si>
  <si>
    <t>Elizabeth</t>
  </si>
  <si>
    <t>3 actividades</t>
  </si>
  <si>
    <t>3 veces</t>
  </si>
  <si>
    <t>FORMACI+A3:D24ONES</t>
  </si>
  <si>
    <t>perfeccionamiento danza del vientre</t>
  </si>
  <si>
    <t>Perfeccionamiento Danza del vientre</t>
  </si>
  <si>
    <t>Yaneiska Belandria</t>
  </si>
  <si>
    <t>yaneiskab@gmail.com</t>
  </si>
  <si>
    <t>Perfeccionamiento Danza del vientre y Arabe</t>
  </si>
  <si>
    <t xml:space="preserve">Gabriela Cipolla </t>
  </si>
  <si>
    <t>Hidalgo 1264  B</t>
  </si>
  <si>
    <t>cipollag@hotmail.com</t>
  </si>
  <si>
    <t>Maria Laura Sosa Ocanto</t>
  </si>
  <si>
    <t>Lavalleja 263</t>
  </si>
  <si>
    <t>marialaurasosaocanto@gmail.com</t>
  </si>
  <si>
    <t>CLASE PARTICULAR</t>
  </si>
  <si>
    <t>Clase particular</t>
  </si>
  <si>
    <t>Yane</t>
  </si>
  <si>
    <t>1HR Y MEDIA</t>
  </si>
  <si>
    <t>1 HR</t>
  </si>
  <si>
    <t>Asly 1 HR Y MEDIA</t>
  </si>
  <si>
    <t>Asly 1 HR</t>
  </si>
  <si>
    <t>CLASES 2 veces</t>
  </si>
  <si>
    <t>Chinchines y tribal</t>
  </si>
  <si>
    <t>chinchines</t>
  </si>
  <si>
    <t>Blanco encalada 5058</t>
  </si>
  <si>
    <t/>
  </si>
  <si>
    <t xml:space="preserve">Florencia Maria Rodriguez </t>
  </si>
  <si>
    <t>Cachi 890</t>
  </si>
  <si>
    <t>flo3214e@gmail.com</t>
  </si>
  <si>
    <t xml:space="preserve">Lorena </t>
  </si>
  <si>
    <t>Susana</t>
  </si>
  <si>
    <t>OCTUBRE</t>
  </si>
  <si>
    <t>NOVIEMBRE</t>
  </si>
  <si>
    <t>TOTALS EPTIEMBRE</t>
  </si>
  <si>
    <t>si</t>
  </si>
  <si>
    <t>no</t>
  </si>
  <si>
    <t>clase particular octubre</t>
  </si>
  <si>
    <t>estudio</t>
  </si>
  <si>
    <t>yaneiska</t>
  </si>
  <si>
    <t>TOTALsep</t>
  </si>
  <si>
    <t>TOTAL oct</t>
  </si>
  <si>
    <t xml:space="preserve">DICIEMBRE </t>
  </si>
  <si>
    <t>MAYO</t>
  </si>
  <si>
    <t>ENTRE SEMANA</t>
  </si>
  <si>
    <t>Sofia</t>
  </si>
  <si>
    <t>Fin de semana</t>
  </si>
  <si>
    <t>Adriana</t>
  </si>
  <si>
    <t>ES</t>
  </si>
  <si>
    <t>FS</t>
  </si>
  <si>
    <t>Lau</t>
  </si>
  <si>
    <t>18:30 a 21:30</t>
  </si>
  <si>
    <t>3 hs</t>
  </si>
  <si>
    <t>luz</t>
  </si>
  <si>
    <t>internet</t>
  </si>
  <si>
    <t>FLOR DE LA FUENTE</t>
  </si>
  <si>
    <t>ROSA</t>
  </si>
  <si>
    <t>Agostina</t>
  </si>
  <si>
    <t>Liliana</t>
  </si>
  <si>
    <t>jeza</t>
  </si>
  <si>
    <t>victoria erazu</t>
  </si>
  <si>
    <t>Belu</t>
  </si>
  <si>
    <t>jes</t>
  </si>
  <si>
    <t>kayla</t>
  </si>
  <si>
    <t>ximena</t>
  </si>
  <si>
    <t>nina</t>
  </si>
  <si>
    <t>camila</t>
  </si>
  <si>
    <t>gabriela</t>
  </si>
  <si>
    <t>mariana</t>
  </si>
  <si>
    <t>Anita</t>
  </si>
  <si>
    <t xml:space="preserve">impresión wifi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</si>
</sst>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.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585858"/>
      <name val="Open Sans"/>
    </font>
    <font>
      <sz val="7"/>
      <color rgb="FF333333"/>
      <name val="Open Sans"/>
    </font>
    <font>
      <sz val="7"/>
      <color rgb="FFFFFFFF"/>
      <name val="Open Sans"/>
    </font>
    <font>
      <sz val="7"/>
      <color rgb="FF585858"/>
      <name val="Open Sans"/>
    </font>
    <font>
      <sz val="7"/>
      <color theme="1"/>
      <name val="Open Sans"/>
    </font>
    <font>
      <sz val="7"/>
      <color rgb="FF333333"/>
      <name val="Open Sans"/>
    </font>
    <font>
      <b/>
      <sz val="7"/>
      <color theme="1"/>
      <name val="Open Sans"/>
    </font>
    <font>
      <sz val="11"/>
      <color rgb="FFFF0000"/>
      <name val="Calibri"/>
      <family val="2"/>
      <scheme val="minor"/>
    </font>
    <font>
      <sz val="7"/>
      <color rgb="FF333333"/>
      <name val="Open Sans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2" tint="-9.9978637043366805E-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tted">
        <color rgb="FFEEEEEE"/>
      </top>
      <bottom/>
      <diagonal/>
    </border>
    <border>
      <left/>
      <right/>
      <top style="dotted">
        <color rgb="FFEEEEEE"/>
      </top>
      <bottom style="dotted">
        <color rgb="FFEEEEEE"/>
      </bottom>
      <diagonal/>
    </border>
    <border>
      <left/>
      <right/>
      <top style="dotted">
        <color rgb="FFBBBBBB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2" borderId="3" xfId="0" applyFont="1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0" fillId="4" borderId="5" xfId="0" applyFill="1" applyBorder="1" applyAlignment="1">
      <alignment wrapText="1"/>
    </xf>
    <xf numFmtId="0" fontId="0" fillId="5" borderId="7" xfId="0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/>
    </xf>
    <xf numFmtId="0" fontId="0" fillId="2" borderId="4" xfId="0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1" fillId="2" borderId="3" xfId="0" applyFont="1" applyFill="1" applyBorder="1" applyAlignment="1">
      <alignment vertical="center" wrapText="1"/>
    </xf>
    <xf numFmtId="0" fontId="0" fillId="2" borderId="4" xfId="0" applyFill="1" applyBorder="1" applyAlignment="1">
      <alignment horizontal="center" vertical="center" wrapText="1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1" fillId="2" borderId="4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3" borderId="1" xfId="0" applyFill="1" applyBorder="1"/>
    <xf numFmtId="0" fontId="0" fillId="4" borderId="1" xfId="0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0" fillId="2" borderId="30" xfId="0" applyFill="1" applyBorder="1"/>
    <xf numFmtId="0" fontId="0" fillId="2" borderId="32" xfId="0" applyFill="1" applyBorder="1"/>
    <xf numFmtId="0" fontId="1" fillId="6" borderId="17" xfId="0" applyFont="1" applyFill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4" fontId="0" fillId="0" borderId="34" xfId="0" applyNumberFormat="1" applyBorder="1"/>
    <xf numFmtId="0" fontId="1" fillId="2" borderId="30" xfId="0" applyFont="1" applyFill="1" applyBorder="1" applyAlignment="1">
      <alignment horizontal="center" vertical="center"/>
    </xf>
    <xf numFmtId="164" fontId="1" fillId="8" borderId="8" xfId="0" applyNumberFormat="1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4" fontId="0" fillId="8" borderId="6" xfId="0" applyNumberFormat="1" applyFill="1" applyBorder="1" applyAlignment="1">
      <alignment horizontal="center" vertical="center"/>
    </xf>
    <xf numFmtId="164" fontId="0" fillId="8" borderId="8" xfId="0" applyNumberFormat="1" applyFill="1" applyBorder="1" applyAlignment="1">
      <alignment horizontal="center" vertical="center"/>
    </xf>
    <xf numFmtId="164" fontId="0" fillId="8" borderId="9" xfId="0" applyNumberFormat="1" applyFill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/>
    </xf>
    <xf numFmtId="164" fontId="1" fillId="3" borderId="32" xfId="0" applyNumberFormat="1" applyFont="1" applyFill="1" applyBorder="1" applyAlignment="1">
      <alignment horizontal="center" vertical="center"/>
    </xf>
    <xf numFmtId="164" fontId="0" fillId="0" borderId="1" xfId="0" applyNumberFormat="1" applyBorder="1"/>
    <xf numFmtId="0" fontId="0" fillId="3" borderId="10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164" fontId="0" fillId="3" borderId="1" xfId="0" applyNumberFormat="1" applyFill="1" applyBorder="1"/>
    <xf numFmtId="0" fontId="0" fillId="4" borderId="1" xfId="0" applyFill="1" applyBorder="1" applyAlignment="1">
      <alignment horizontal="center" vertical="center"/>
    </xf>
    <xf numFmtId="0" fontId="0" fillId="7" borderId="1" xfId="0" applyFill="1" applyBorder="1"/>
    <xf numFmtId="164" fontId="0" fillId="7" borderId="1" xfId="0" applyNumberFormat="1" applyFill="1" applyBorder="1"/>
    <xf numFmtId="0" fontId="0" fillId="12" borderId="1" xfId="0" applyFill="1" applyBorder="1" applyAlignment="1">
      <alignment horizontal="center" vertical="center"/>
    </xf>
    <xf numFmtId="0" fontId="0" fillId="5" borderId="1" xfId="0" applyFill="1" applyBorder="1"/>
    <xf numFmtId="164" fontId="0" fillId="5" borderId="1" xfId="0" applyNumberFormat="1" applyFill="1" applyBorder="1"/>
    <xf numFmtId="164" fontId="0" fillId="8" borderId="35" xfId="0" applyNumberFormat="1" applyFill="1" applyBorder="1"/>
    <xf numFmtId="164" fontId="0" fillId="3" borderId="1" xfId="0" applyNumberForma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2" fillId="0" borderId="1" xfId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3" fillId="13" borderId="36" xfId="0" applyFont="1" applyFill="1" applyBorder="1" applyAlignment="1">
      <alignment vertical="top" indent="1"/>
    </xf>
    <xf numFmtId="0" fontId="3" fillId="13" borderId="36" xfId="0" applyFont="1" applyFill="1" applyBorder="1" applyAlignment="1">
      <alignment horizontal="right" vertical="top" wrapText="1" indent="1"/>
    </xf>
    <xf numFmtId="0" fontId="4" fillId="13" borderId="36" xfId="0" applyFont="1" applyFill="1" applyBorder="1" applyAlignment="1">
      <alignment horizontal="right" vertical="top" wrapText="1" indent="1"/>
    </xf>
    <xf numFmtId="14" fontId="3" fillId="13" borderId="36" xfId="0" applyNumberFormat="1" applyFont="1" applyFill="1" applyBorder="1" applyAlignment="1">
      <alignment vertical="top" wrapText="1" indent="1"/>
    </xf>
    <xf numFmtId="14" fontId="5" fillId="13" borderId="0" xfId="0" applyNumberFormat="1" applyFont="1" applyFill="1" applyAlignment="1">
      <alignment vertical="top" wrapText="1" indent="1"/>
    </xf>
    <xf numFmtId="14" fontId="3" fillId="14" borderId="37" xfId="0" applyNumberFormat="1" applyFont="1" applyFill="1" applyBorder="1" applyAlignment="1">
      <alignment vertical="top" wrapText="1" indent="1"/>
    </xf>
    <xf numFmtId="0" fontId="3" fillId="14" borderId="37" xfId="0" applyFont="1" applyFill="1" applyBorder="1" applyAlignment="1">
      <alignment vertical="top" indent="1"/>
    </xf>
    <xf numFmtId="0" fontId="3" fillId="14" borderId="37" xfId="0" applyFont="1" applyFill="1" applyBorder="1" applyAlignment="1">
      <alignment horizontal="right" vertical="top" wrapText="1" indent="1"/>
    </xf>
    <xf numFmtId="0" fontId="4" fillId="14" borderId="37" xfId="0" applyFont="1" applyFill="1" applyBorder="1" applyAlignment="1">
      <alignment horizontal="right" vertical="top" wrapText="1" indent="1"/>
    </xf>
    <xf numFmtId="0" fontId="0" fillId="10" borderId="0" xfId="0" applyFill="1"/>
    <xf numFmtId="16" fontId="0" fillId="0" borderId="0" xfId="0" applyNumberFormat="1"/>
    <xf numFmtId="0" fontId="0" fillId="3" borderId="0" xfId="0" applyFill="1" applyAlignment="1">
      <alignment horizontal="center" vertical="center" wrapText="1"/>
    </xf>
    <xf numFmtId="14" fontId="3" fillId="13" borderId="38" xfId="0" applyNumberFormat="1" applyFont="1" applyFill="1" applyBorder="1" applyAlignment="1">
      <alignment vertical="top" wrapText="1" indent="1"/>
    </xf>
    <xf numFmtId="0" fontId="3" fillId="13" borderId="38" xfId="0" applyFont="1" applyFill="1" applyBorder="1" applyAlignment="1">
      <alignment vertical="top" wrapText="1" indent="1"/>
    </xf>
    <xf numFmtId="0" fontId="6" fillId="13" borderId="38" xfId="0" applyFont="1" applyFill="1" applyBorder="1" applyAlignment="1">
      <alignment horizontal="right" vertical="top" wrapText="1" indent="1"/>
    </xf>
    <xf numFmtId="0" fontId="3" fillId="14" borderId="38" xfId="0" applyFont="1" applyFill="1" applyBorder="1" applyAlignment="1">
      <alignment vertical="top" wrapText="1" indent="1"/>
    </xf>
    <xf numFmtId="0" fontId="6" fillId="14" borderId="38" xfId="0" applyFont="1" applyFill="1" applyBorder="1" applyAlignment="1">
      <alignment horizontal="right" vertical="top" wrapText="1" indent="1"/>
    </xf>
    <xf numFmtId="14" fontId="7" fillId="14" borderId="0" xfId="0" applyNumberFormat="1" applyFont="1" applyFill="1" applyAlignment="1">
      <alignment vertical="top" wrapText="1" indent="1"/>
    </xf>
    <xf numFmtId="14" fontId="3" fillId="14" borderId="36" xfId="0" applyNumberFormat="1" applyFont="1" applyFill="1" applyBorder="1" applyAlignment="1">
      <alignment vertical="top" wrapText="1" indent="1"/>
    </xf>
    <xf numFmtId="0" fontId="3" fillId="14" borderId="36" xfId="0" applyFont="1" applyFill="1" applyBorder="1" applyAlignment="1">
      <alignment vertical="top" indent="1"/>
    </xf>
    <xf numFmtId="0" fontId="3" fillId="14" borderId="36" xfId="0" applyFont="1" applyFill="1" applyBorder="1" applyAlignment="1">
      <alignment horizontal="right" vertical="top" wrapText="1" indent="1"/>
    </xf>
    <xf numFmtId="0" fontId="3" fillId="13" borderId="38" xfId="0" applyFont="1" applyFill="1" applyBorder="1" applyAlignment="1">
      <alignment horizontal="right" vertical="top" wrapText="1" indent="1"/>
    </xf>
    <xf numFmtId="0" fontId="4" fillId="14" borderId="36" xfId="0" applyFont="1" applyFill="1" applyBorder="1" applyAlignment="1">
      <alignment horizontal="right" vertical="top" wrapText="1" indent="1"/>
    </xf>
    <xf numFmtId="0" fontId="0" fillId="0" borderId="0" xfId="0" applyAlignment="1">
      <alignment horizontal="right"/>
    </xf>
    <xf numFmtId="16" fontId="0" fillId="0" borderId="1" xfId="0" applyNumberForma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8" fillId="14" borderId="36" xfId="0" applyFont="1" applyFill="1" applyBorder="1" applyAlignment="1">
      <alignment horizontal="right" vertical="top" wrapText="1" indent="1"/>
    </xf>
    <xf numFmtId="0" fontId="8" fillId="13" borderId="36" xfId="0" applyFont="1" applyFill="1" applyBorder="1" applyAlignment="1">
      <alignment horizontal="right" vertical="top" wrapText="1" indent="1"/>
    </xf>
    <xf numFmtId="14" fontId="3" fillId="0" borderId="0" xfId="0" applyNumberFormat="1" applyFont="1"/>
    <xf numFmtId="14" fontId="9" fillId="14" borderId="0" xfId="0" applyNumberFormat="1" applyFont="1" applyFill="1" applyAlignment="1">
      <alignment vertical="top" wrapText="1" indent="1"/>
    </xf>
    <xf numFmtId="0" fontId="0" fillId="8" borderId="0" xfId="0" applyFill="1"/>
    <xf numFmtId="0" fontId="1" fillId="3" borderId="1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1" fillId="14" borderId="36" xfId="0" applyFont="1" applyFill="1" applyBorder="1" applyAlignment="1">
      <alignment horizontal="right" vertical="top" wrapText="1" indent="1"/>
    </xf>
    <xf numFmtId="0" fontId="11" fillId="13" borderId="36" xfId="0" applyFont="1" applyFill="1" applyBorder="1" applyAlignment="1">
      <alignment horizontal="right" vertical="top" wrapText="1" indent="1"/>
    </xf>
    <xf numFmtId="0" fontId="0" fillId="2" borderId="1" xfId="0" applyFill="1" applyBorder="1"/>
    <xf numFmtId="164" fontId="0" fillId="2" borderId="1" xfId="0" applyNumberFormat="1" applyFill="1" applyBorder="1"/>
    <xf numFmtId="0" fontId="0" fillId="15" borderId="1" xfId="0" applyFill="1" applyBorder="1"/>
    <xf numFmtId="164" fontId="0" fillId="15" borderId="1" xfId="0" applyNumberFormat="1" applyFill="1" applyBorder="1"/>
    <xf numFmtId="0" fontId="0" fillId="15" borderId="0" xfId="0" applyFill="1"/>
    <xf numFmtId="164" fontId="0" fillId="15" borderId="0" xfId="0" applyNumberFormat="1" applyFill="1"/>
    <xf numFmtId="164" fontId="10" fillId="2" borderId="1" xfId="0" applyNumberFormat="1" applyFont="1" applyFill="1" applyBorder="1"/>
    <xf numFmtId="164" fontId="12" fillId="0" borderId="1" xfId="0" applyNumberFormat="1" applyFont="1" applyBorder="1" applyAlignment="1">
      <alignment horizontal="center"/>
    </xf>
    <xf numFmtId="164" fontId="0" fillId="8" borderId="16" xfId="0" applyNumberFormat="1" applyFill="1" applyBorder="1" applyAlignment="1">
      <alignment horizontal="center" vertical="center"/>
    </xf>
    <xf numFmtId="164" fontId="10" fillId="3" borderId="1" xfId="0" applyNumberFormat="1" applyFont="1" applyFill="1" applyBorder="1"/>
    <xf numFmtId="0" fontId="0" fillId="3" borderId="2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3" borderId="30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/>
    </xf>
    <xf numFmtId="0" fontId="0" fillId="3" borderId="25" xfId="0" applyFill="1" applyBorder="1" applyAlignment="1">
      <alignment horizontal="center" vertical="center" wrapText="1"/>
    </xf>
    <xf numFmtId="0" fontId="0" fillId="3" borderId="27" xfId="0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0" fontId="0" fillId="3" borderId="28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 wrapText="1"/>
    </xf>
    <xf numFmtId="0" fontId="0" fillId="3" borderId="29" xfId="0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1" fillId="10" borderId="17" xfId="0" applyFont="1" applyFill="1" applyBorder="1" applyAlignment="1">
      <alignment horizontal="center"/>
    </xf>
    <xf numFmtId="0" fontId="1" fillId="10" borderId="39" xfId="0" applyFont="1" applyFill="1" applyBorder="1" applyAlignment="1">
      <alignment horizontal="center"/>
    </xf>
    <xf numFmtId="0" fontId="1" fillId="10" borderId="40" xfId="0" applyFont="1" applyFill="1" applyBorder="1" applyAlignment="1">
      <alignment horizontal="center"/>
    </xf>
    <xf numFmtId="0" fontId="1" fillId="11" borderId="17" xfId="0" applyFont="1" applyFill="1" applyBorder="1" applyAlignment="1">
      <alignment horizontal="center"/>
    </xf>
    <xf numFmtId="0" fontId="1" fillId="11" borderId="39" xfId="0" applyFont="1" applyFill="1" applyBorder="1" applyAlignment="1">
      <alignment horizontal="center"/>
    </xf>
    <xf numFmtId="0" fontId="1" fillId="11" borderId="40" xfId="0" applyFont="1" applyFill="1" applyBorder="1" applyAlignment="1">
      <alignment horizontal="center"/>
    </xf>
    <xf numFmtId="0" fontId="0" fillId="2" borderId="20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2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155222</xdr:colOff>
      <xdr:row>0</xdr:row>
      <xdr:rowOff>49390</xdr:rowOff>
    </xdr:from>
    <xdr:to>
      <xdr:col>0</xdr:col>
      <xdr:colOff>548922</xdr:colOff>
      <xdr:row>2</xdr:row>
      <xdr:rowOff>116321</xdr:rowOff>
    </xdr:to>
    <xdr:pic>
      <xdr:nvPicPr>
        <xdr:cNvPr id="2" name="Imagen 1" descr="C:\Users\yrodriguez\OneDrive - ADIFSE\Documentos\01yane\Danza\PROYECTOR 2024\logo negro.jpe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22" y="49390"/>
          <a:ext cx="393700" cy="433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98778</xdr:colOff>
      <xdr:row>0</xdr:row>
      <xdr:rowOff>77611</xdr:rowOff>
    </xdr:from>
    <xdr:to>
      <xdr:col>5</xdr:col>
      <xdr:colOff>492478</xdr:colOff>
      <xdr:row>2</xdr:row>
      <xdr:rowOff>144542</xdr:rowOff>
    </xdr:to>
    <xdr:pic>
      <xdr:nvPicPr>
        <xdr:cNvPr id="3" name="Imagen 2" descr="C:\Users\yrodriguez\OneDrive - ADIFSE\Documentos\01yane\Danza\PROYECTOR 2024\logo negro.jpeg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6889" y="77611"/>
          <a:ext cx="393700" cy="433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155222</xdr:colOff>
      <xdr:row>0</xdr:row>
      <xdr:rowOff>49390</xdr:rowOff>
    </xdr:from>
    <xdr:to>
      <xdr:col>0</xdr:col>
      <xdr:colOff>548922</xdr:colOff>
      <xdr:row>2</xdr:row>
      <xdr:rowOff>116321</xdr:rowOff>
    </xdr:to>
    <xdr:pic>
      <xdr:nvPicPr>
        <xdr:cNvPr id="2" name="Imagen 1" descr="C:\Users\yrodriguez\OneDrive - ADIFSE\Documentos\01yane\Danza\PROYECTOR 2024\logo negro.jpeg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22" y="49390"/>
          <a:ext cx="393700" cy="435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98072</xdr:colOff>
      <xdr:row>0</xdr:row>
      <xdr:rowOff>55740</xdr:rowOff>
    </xdr:from>
    <xdr:to>
      <xdr:col>0</xdr:col>
      <xdr:colOff>491772</xdr:colOff>
      <xdr:row>2</xdr:row>
      <xdr:rowOff>122671</xdr:rowOff>
    </xdr:to>
    <xdr:pic>
      <xdr:nvPicPr>
        <xdr:cNvPr id="2" name="Imagen 1" descr="C:\Users\yrodriguez\OneDrive - ADIFSE\Documentos\01yane\Danza\PROYECTOR 2024\logo negro.jpeg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072" y="55740"/>
          <a:ext cx="393700" cy="435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184150</xdr:colOff>
      <xdr:row>0</xdr:row>
      <xdr:rowOff>95250</xdr:rowOff>
    </xdr:from>
    <xdr:to>
      <xdr:col>0</xdr:col>
      <xdr:colOff>577850</xdr:colOff>
      <xdr:row>1</xdr:row>
      <xdr:rowOff>257431</xdr:rowOff>
    </xdr:to>
    <xdr:pic>
      <xdr:nvPicPr>
        <xdr:cNvPr id="2" name="Imagen 1" descr="C:\Users\yrodriguez\OneDrive - ADIFSE\Documentos\01yane\Danza\PROYECTOR 2024\logo negro.jpeg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150" y="95250"/>
          <a:ext cx="393700" cy="435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59972</xdr:colOff>
      <xdr:row>0</xdr:row>
      <xdr:rowOff>39865</xdr:rowOff>
    </xdr:from>
    <xdr:to>
      <xdr:col>0</xdr:col>
      <xdr:colOff>453672</xdr:colOff>
      <xdr:row>2</xdr:row>
      <xdr:rowOff>94096</xdr:rowOff>
    </xdr:to>
    <xdr:pic>
      <xdr:nvPicPr>
        <xdr:cNvPr id="2" name="Imagen 1" descr="C:\Users\yrodriguez\OneDrive - ADIFSE\Documentos\01yane\Danza\PROYECTOR 2024\logo negro.jpeg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72" y="39865"/>
          <a:ext cx="393700" cy="454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25401</xdr:colOff>
      <xdr:row>0</xdr:row>
      <xdr:rowOff>76200</xdr:rowOff>
    </xdr:from>
    <xdr:to>
      <xdr:col>0</xdr:col>
      <xdr:colOff>419101</xdr:colOff>
      <xdr:row>1</xdr:row>
      <xdr:rowOff>230620</xdr:rowOff>
    </xdr:to>
    <xdr:pic>
      <xdr:nvPicPr>
        <xdr:cNvPr id="4" name="Imagen 3" descr="C:\Users\yrodriguez\OneDrive - ADIFSE\Documentos\01yane\Danza\PROYECTOR 2024\logo negro.jpeg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1" y="76200"/>
          <a:ext cx="393700" cy="433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yaneiskab@gmail.com" TargetMode="External"/><Relationship Id="rId13" Type="http://schemas.openxmlformats.org/officeDocument/2006/relationships/drawing" Target="../drawings/drawing6.xml"/><Relationship Id="rId3" Type="http://schemas.openxmlformats.org/officeDocument/2006/relationships/hyperlink" Target="mailto:tetraktys1234@gmail.com" TargetMode="External"/><Relationship Id="rId7" Type="http://schemas.openxmlformats.org/officeDocument/2006/relationships/hyperlink" Target="mailto:macelestegomez.z@gmail.com" TargetMode="External"/><Relationship Id="rId12" Type="http://schemas.openxmlformats.org/officeDocument/2006/relationships/printerSettings" Target="../printerSettings/printerSettings5.bin"/><Relationship Id="rId2" Type="http://schemas.openxmlformats.org/officeDocument/2006/relationships/hyperlink" Target="mailto:paucaceres27@gmail.com" TargetMode="External"/><Relationship Id="rId1" Type="http://schemas.openxmlformats.org/officeDocument/2006/relationships/hyperlink" Target="mailto:cameela@live.com.ar" TargetMode="External"/><Relationship Id="rId6" Type="http://schemas.openxmlformats.org/officeDocument/2006/relationships/hyperlink" Target="mailto:pp.estilistaunisex@hotmail.com" TargetMode="External"/><Relationship Id="rId11" Type="http://schemas.openxmlformats.org/officeDocument/2006/relationships/hyperlink" Target="mailto:flo3214e@gmail.com" TargetMode="External"/><Relationship Id="rId5" Type="http://schemas.openxmlformats.org/officeDocument/2006/relationships/hyperlink" Target="mailto:lolamontalban.psi@gmail.com" TargetMode="External"/><Relationship Id="rId10" Type="http://schemas.openxmlformats.org/officeDocument/2006/relationships/hyperlink" Target="mailto:marialaurasosaocanto@gmail.com" TargetMode="External"/><Relationship Id="rId4" Type="http://schemas.openxmlformats.org/officeDocument/2006/relationships/hyperlink" Target="mailto:camilcamarero@gmail.com" TargetMode="External"/><Relationship Id="rId9" Type="http://schemas.openxmlformats.org/officeDocument/2006/relationships/hyperlink" Target="mailto:cipollag@hot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zoomScale="90" zoomScaleNormal="90" workbookViewId="0">
      <selection activeCell="K20" sqref="K20"/>
    </sheetView>
  </sheetViews>
  <sheetFormatPr baseColWidth="10" defaultRowHeight="14.4" x14ac:dyDescent="0.3"/>
  <cols>
    <col min="1" max="1" width="18.33203125" customWidth="1"/>
    <col min="2" max="2" width="14" hidden="1" customWidth="1"/>
    <col min="3" max="3" width="15.44140625" customWidth="1"/>
    <col min="4" max="4" width="14.44140625" customWidth="1"/>
    <col min="6" max="6" width="17.88671875" customWidth="1"/>
    <col min="7" max="7" width="14.6640625" customWidth="1"/>
    <col min="8" max="8" width="14.33203125" customWidth="1"/>
    <col min="9" max="9" width="14.88671875" customWidth="1"/>
    <col min="10" max="10" width="14.109375" customWidth="1"/>
    <col min="11" max="11" width="14.6640625" customWidth="1"/>
    <col min="14" max="14" width="14.44140625" customWidth="1"/>
  </cols>
  <sheetData>
    <row r="1" spans="1:14" x14ac:dyDescent="0.3">
      <c r="A1" s="131" t="s">
        <v>55</v>
      </c>
      <c r="B1" s="132"/>
      <c r="C1" s="132"/>
      <c r="F1" s="136" t="s">
        <v>64</v>
      </c>
      <c r="G1" s="137"/>
    </row>
    <row r="2" spans="1:14" x14ac:dyDescent="0.3">
      <c r="A2" s="131"/>
      <c r="B2" s="132"/>
      <c r="C2" s="132"/>
      <c r="F2" s="138"/>
      <c r="G2" s="139"/>
    </row>
    <row r="3" spans="1:14" ht="15" thickBot="1" x14ac:dyDescent="0.35">
      <c r="A3" s="131"/>
      <c r="B3" s="132"/>
      <c r="C3" s="132"/>
      <c r="F3" s="140"/>
      <c r="G3" s="141"/>
    </row>
    <row r="4" spans="1:14" ht="15.75" thickBot="1" x14ac:dyDescent="0.3"/>
    <row r="5" spans="1:14" s="2" customFormat="1" ht="15.75" thickBot="1" x14ac:dyDescent="0.3">
      <c r="A5" s="51" t="s">
        <v>0</v>
      </c>
      <c r="B5" s="51" t="s">
        <v>50</v>
      </c>
      <c r="C5" s="51" t="s">
        <v>51</v>
      </c>
      <c r="D5" s="51" t="s">
        <v>271</v>
      </c>
      <c r="F5" s="142" t="s">
        <v>13</v>
      </c>
      <c r="G5" s="143"/>
      <c r="H5" s="143"/>
      <c r="I5" s="144"/>
    </row>
    <row r="6" spans="1:14" s="2" customFormat="1" ht="15.75" thickBot="1" x14ac:dyDescent="0.3">
      <c r="A6" s="33" t="s">
        <v>1</v>
      </c>
      <c r="B6" s="14">
        <v>400000</v>
      </c>
      <c r="C6" s="14">
        <v>450000</v>
      </c>
      <c r="D6" s="14"/>
      <c r="G6" s="2" t="s">
        <v>246</v>
      </c>
      <c r="H6" s="2" t="s">
        <v>247</v>
      </c>
    </row>
    <row r="7" spans="1:14" s="2" customFormat="1" ht="15.75" thickBot="1" x14ac:dyDescent="0.3">
      <c r="A7" s="33" t="s">
        <v>79</v>
      </c>
      <c r="B7" s="14"/>
      <c r="C7" s="14">
        <v>110080.3</v>
      </c>
      <c r="D7" s="14"/>
      <c r="F7" s="46" t="s">
        <v>23</v>
      </c>
      <c r="G7" s="47">
        <v>14800</v>
      </c>
      <c r="H7">
        <v>9900</v>
      </c>
      <c r="I7"/>
    </row>
    <row r="8" spans="1:14" s="2" customFormat="1" ht="15.75" thickBot="1" x14ac:dyDescent="0.3">
      <c r="A8" s="33" t="s">
        <v>2</v>
      </c>
      <c r="B8" s="14"/>
      <c r="C8" s="14">
        <v>64000</v>
      </c>
      <c r="D8" s="14"/>
      <c r="F8"/>
      <c r="G8"/>
      <c r="H8"/>
      <c r="I8"/>
    </row>
    <row r="9" spans="1:14" s="2" customFormat="1" ht="15" x14ac:dyDescent="0.25">
      <c r="A9" s="33" t="s">
        <v>3</v>
      </c>
      <c r="B9" s="14">
        <f>G14</f>
        <v>340300</v>
      </c>
      <c r="C9" s="14">
        <f>H14</f>
        <v>360000</v>
      </c>
      <c r="D9" s="14"/>
      <c r="F9" s="42" t="s">
        <v>58</v>
      </c>
      <c r="G9" s="43" t="s">
        <v>50</v>
      </c>
      <c r="H9" s="43" t="s">
        <v>51</v>
      </c>
      <c r="I9" s="43" t="s">
        <v>271</v>
      </c>
    </row>
    <row r="10" spans="1:14" s="2" customFormat="1" ht="15" x14ac:dyDescent="0.25">
      <c r="A10" s="33" t="s">
        <v>9</v>
      </c>
      <c r="B10" s="14"/>
      <c r="C10" s="14">
        <v>64000</v>
      </c>
      <c r="D10" s="14"/>
      <c r="F10" s="44" t="s">
        <v>56</v>
      </c>
      <c r="G10" s="14">
        <f>$G$7*'DOCENTES Y CLASES '!B9</f>
        <v>44400</v>
      </c>
      <c r="H10" s="14">
        <f>$G$7*'DOCENTES Y CLASES '!C9</f>
        <v>44400</v>
      </c>
      <c r="I10" s="14">
        <f>$G$7*'DOCENTES Y CLASES '!D9</f>
        <v>44400</v>
      </c>
    </row>
    <row r="11" spans="1:14" ht="15" x14ac:dyDescent="0.25">
      <c r="A11" s="33" t="s">
        <v>69</v>
      </c>
      <c r="B11" s="14">
        <f>'GASTOS VARIOS'!E1</f>
        <v>0</v>
      </c>
      <c r="C11" s="14">
        <f>'GASTOS VARIOS'!E2</f>
        <v>84538.85</v>
      </c>
      <c r="D11" s="14"/>
      <c r="F11" s="44" t="s">
        <v>14</v>
      </c>
      <c r="G11" s="14">
        <f>$G$7*'DOCENTES Y CLASES '!B10</f>
        <v>0</v>
      </c>
      <c r="H11" s="14">
        <f>$G$7*'DOCENTES Y CLASES '!C10</f>
        <v>0</v>
      </c>
      <c r="I11" s="14">
        <f>$G$7*'DOCENTES Y CLASES '!D10</f>
        <v>0</v>
      </c>
      <c r="N11" s="18"/>
    </row>
    <row r="12" spans="1:14" ht="15" x14ac:dyDescent="0.25">
      <c r="A12" s="52" t="s">
        <v>61</v>
      </c>
      <c r="B12" s="50">
        <f>SUM(B6:B11)</f>
        <v>740300</v>
      </c>
      <c r="C12" s="50">
        <f t="shared" ref="C12" si="0">SUM(C6:C11)</f>
        <v>1132619.1500000001</v>
      </c>
      <c r="D12" s="50">
        <f>SUM(D6:D11)</f>
        <v>0</v>
      </c>
      <c r="F12" s="44" t="s">
        <v>15</v>
      </c>
      <c r="G12" s="14">
        <f>$G$7*'DOCENTES Y CLASES '!B11</f>
        <v>133200</v>
      </c>
      <c r="H12" s="14">
        <f>$G$7*'DOCENTES Y CLASES '!C11+'DOCENTES Y CLASES '!I9</f>
        <v>132400</v>
      </c>
      <c r="I12" s="14">
        <f>$G$7*'DOCENTES Y CLASES '!D11</f>
        <v>177600</v>
      </c>
      <c r="J12" s="18"/>
      <c r="K12" s="18"/>
      <c r="N12" s="18"/>
    </row>
    <row r="13" spans="1:14" ht="15" x14ac:dyDescent="0.25">
      <c r="A13" s="51" t="s">
        <v>59</v>
      </c>
      <c r="B13" s="51" t="s">
        <v>50</v>
      </c>
      <c r="C13" s="51" t="s">
        <v>51</v>
      </c>
      <c r="D13" s="51" t="s">
        <v>271</v>
      </c>
      <c r="F13" s="33" t="s">
        <v>227</v>
      </c>
      <c r="G13" s="14">
        <f>$G$7*'DOCENTES Y CLASES '!B12+H7*'DOCENTES Y CLASES '!B13</f>
        <v>24700</v>
      </c>
      <c r="H13" s="14">
        <f>$G$7*'DOCENTES Y CLASES '!C12+H7*'DOCENTES Y CLASES '!C13</f>
        <v>143200</v>
      </c>
      <c r="I13" s="14">
        <f>$G$7*'DOCENTES Y CLASES '!D12+H7*'DOCENTES Y CLASES '!D13</f>
        <v>123500</v>
      </c>
      <c r="K13" s="18"/>
    </row>
    <row r="14" spans="1:14" ht="15.75" thickBot="1" x14ac:dyDescent="0.3">
      <c r="A14" s="33" t="s">
        <v>34</v>
      </c>
      <c r="B14" s="12">
        <f>'ALUMNAS '!M1</f>
        <v>656000</v>
      </c>
      <c r="C14" s="12">
        <f ca="1">'ALUMNAS '!N1</f>
        <v>741000</v>
      </c>
      <c r="D14" s="12">
        <f ca="1">'ALUMNAS '!O1</f>
        <v>75000</v>
      </c>
      <c r="F14" s="45" t="s">
        <v>57</v>
      </c>
      <c r="G14" s="55">
        <v>340300</v>
      </c>
      <c r="H14" s="55">
        <v>360000</v>
      </c>
      <c r="I14" s="55">
        <f>SUM(I10:I13)</f>
        <v>345500</v>
      </c>
      <c r="K14" s="18"/>
    </row>
    <row r="15" spans="1:14" ht="15.75" thickBot="1" x14ac:dyDescent="0.3">
      <c r="A15" s="33" t="s">
        <v>60</v>
      </c>
      <c r="B15" s="12">
        <f>'ALQUILER DE SALA'!I1</f>
        <v>391000</v>
      </c>
      <c r="C15" s="12">
        <f>'ALQUILER DE SALA'!I2</f>
        <v>426000</v>
      </c>
      <c r="D15" s="12">
        <f>'ALQUILER DE SALA'!I3</f>
        <v>0</v>
      </c>
      <c r="K15" s="18"/>
    </row>
    <row r="16" spans="1:14" ht="15.75" thickBot="1" x14ac:dyDescent="0.3">
      <c r="A16" s="33" t="s">
        <v>70</v>
      </c>
      <c r="B16" s="128">
        <v>0</v>
      </c>
      <c r="C16" s="12"/>
      <c r="D16" s="12"/>
      <c r="F16" s="133" t="s">
        <v>65</v>
      </c>
      <c r="G16" s="134"/>
      <c r="H16" s="134"/>
      <c r="I16" s="135"/>
      <c r="N16">
        <f>17000*2</f>
        <v>34000</v>
      </c>
    </row>
    <row r="17" spans="1:11" ht="15.75" thickBot="1" x14ac:dyDescent="0.3">
      <c r="A17" s="64" t="s">
        <v>212</v>
      </c>
      <c r="B17" s="12"/>
      <c r="C17" s="12"/>
      <c r="D17" s="12"/>
    </row>
    <row r="18" spans="1:11" ht="15" x14ac:dyDescent="0.25">
      <c r="A18" s="52" t="s">
        <v>62</v>
      </c>
      <c r="B18" s="50">
        <f>SUM(B14:B17)</f>
        <v>1047000</v>
      </c>
      <c r="C18" s="50">
        <f t="shared" ref="C18" ca="1" si="1">SUM(C14:C17)</f>
        <v>1167000</v>
      </c>
      <c r="D18" s="50">
        <f ca="1">SUM(D14:D17)</f>
        <v>75000</v>
      </c>
      <c r="F18" s="57" t="s">
        <v>67</v>
      </c>
      <c r="G18" s="43" t="s">
        <v>50</v>
      </c>
      <c r="H18" s="43" t="s">
        <v>51</v>
      </c>
      <c r="I18" s="43" t="s">
        <v>271</v>
      </c>
    </row>
    <row r="19" spans="1:11" x14ac:dyDescent="0.3">
      <c r="A19" s="115" t="s">
        <v>198</v>
      </c>
      <c r="B19" s="51" t="s">
        <v>50</v>
      </c>
      <c r="C19" s="51" t="s">
        <v>51</v>
      </c>
      <c r="D19" s="51" t="s">
        <v>271</v>
      </c>
      <c r="F19" s="44" t="s">
        <v>56</v>
      </c>
      <c r="G19" s="14">
        <f>IF($B$26&lt;0,0,$B$26*0.7)</f>
        <v>250599.99999999997</v>
      </c>
      <c r="H19" s="14">
        <f ca="1">IF($C$26&lt;0,0,$C$26*0.7)</f>
        <v>57666.594999999899</v>
      </c>
      <c r="I19" s="14">
        <f ca="1">IF($D$26&lt;0,0,$B$26*0.7)</f>
        <v>250599.99999999997</v>
      </c>
    </row>
    <row r="20" spans="1:11" x14ac:dyDescent="0.3">
      <c r="A20" s="33" t="s">
        <v>225</v>
      </c>
      <c r="B20" s="82"/>
      <c r="C20" s="14">
        <v>48000</v>
      </c>
      <c r="D20" s="14"/>
      <c r="F20" s="44" t="s">
        <v>14</v>
      </c>
      <c r="G20" s="14">
        <f>IF($B$26&lt;0,0,$B$26*0.15)</f>
        <v>53700</v>
      </c>
      <c r="H20" s="14">
        <f ca="1">IF($C$26&lt;0,0,$C$26*0.15)</f>
        <v>12357.127499999979</v>
      </c>
      <c r="I20" s="14">
        <f t="shared" ref="I20:I21" ca="1" si="2">IF($D$26&lt;0,0,$B$26*0.7)</f>
        <v>250599.99999999997</v>
      </c>
    </row>
    <row r="21" spans="1:11" x14ac:dyDescent="0.3">
      <c r="A21" s="33"/>
      <c r="C21" s="14"/>
      <c r="D21" s="14"/>
      <c r="F21" s="44" t="s">
        <v>15</v>
      </c>
      <c r="G21" s="14">
        <f>IF($B$26&lt;0,0,$B$26*0.15)</f>
        <v>53700</v>
      </c>
      <c r="H21" s="14">
        <f ca="1">IF($C$26&lt;0,0,$C$26*0.15)</f>
        <v>12357.127499999979</v>
      </c>
      <c r="I21" s="14">
        <f t="shared" ca="1" si="2"/>
        <v>250599.99999999997</v>
      </c>
    </row>
    <row r="22" spans="1:11" ht="15" thickBot="1" x14ac:dyDescent="0.35">
      <c r="A22" s="52" t="s">
        <v>201</v>
      </c>
      <c r="B22" s="50">
        <v>51300</v>
      </c>
      <c r="C22" s="50">
        <f>SUM(C20:C21)</f>
        <v>48000</v>
      </c>
      <c r="D22" s="50">
        <f>SUM(D20:D21)</f>
        <v>0</v>
      </c>
      <c r="F22" s="45" t="s">
        <v>57</v>
      </c>
      <c r="G22" s="55">
        <f>SUM(G19:G21)</f>
        <v>358000</v>
      </c>
      <c r="H22" s="55">
        <f ca="1">SUM(H19:H21)</f>
        <v>82380.849999999846</v>
      </c>
      <c r="I22" s="55">
        <f ca="1">SUM(I19:I21)</f>
        <v>751799.99999999988</v>
      </c>
    </row>
    <row r="23" spans="1:11" ht="15" thickBot="1" x14ac:dyDescent="0.35">
      <c r="A23" s="21"/>
      <c r="B23" s="82"/>
      <c r="C23" s="82"/>
      <c r="D23" s="82"/>
    </row>
    <row r="24" spans="1:11" ht="15" thickBot="1" x14ac:dyDescent="0.35">
      <c r="A24" s="116" t="s">
        <v>199</v>
      </c>
      <c r="B24" s="117">
        <f>B18+B22</f>
        <v>1098300</v>
      </c>
      <c r="C24" s="117">
        <f ca="1">C18+C22</f>
        <v>1215000</v>
      </c>
      <c r="D24" s="117">
        <f ca="1">D18+D22</f>
        <v>75000</v>
      </c>
      <c r="F24" s="133" t="s">
        <v>66</v>
      </c>
      <c r="G24" s="134"/>
      <c r="H24" s="134"/>
      <c r="I24" s="135"/>
    </row>
    <row r="25" spans="1:11" ht="15" thickBot="1" x14ac:dyDescent="0.35">
      <c r="A25" s="37" t="s">
        <v>200</v>
      </c>
      <c r="B25" s="14">
        <f>+B12</f>
        <v>740300</v>
      </c>
      <c r="C25" s="14">
        <f>+C12</f>
        <v>1132619.1500000001</v>
      </c>
      <c r="D25" s="14">
        <f>+D12</f>
        <v>0</v>
      </c>
    </row>
    <row r="26" spans="1:11" ht="15" thickBot="1" x14ac:dyDescent="0.35">
      <c r="A26" s="54" t="s">
        <v>63</v>
      </c>
      <c r="B26" s="53">
        <f>B24-B25</f>
        <v>358000</v>
      </c>
      <c r="C26" s="53">
        <f ca="1">C24-C25</f>
        <v>82380.84999999986</v>
      </c>
      <c r="D26" s="53">
        <f ca="1">D24-D25</f>
        <v>75000</v>
      </c>
      <c r="F26" s="57" t="s">
        <v>67</v>
      </c>
      <c r="G26" s="43" t="s">
        <v>50</v>
      </c>
      <c r="H26" s="43" t="s">
        <v>51</v>
      </c>
      <c r="I26" s="43" t="s">
        <v>271</v>
      </c>
    </row>
    <row r="27" spans="1:11" x14ac:dyDescent="0.3">
      <c r="F27" s="44" t="s">
        <v>56</v>
      </c>
      <c r="G27" s="50">
        <f t="shared" ref="G27:I29" si="3">G10+G19</f>
        <v>295000</v>
      </c>
      <c r="H27" s="50">
        <f t="shared" ca="1" si="3"/>
        <v>102066.5949999999</v>
      </c>
      <c r="I27" s="58">
        <f t="shared" ca="1" si="3"/>
        <v>295000</v>
      </c>
      <c r="K27" s="18"/>
    </row>
    <row r="28" spans="1:11" x14ac:dyDescent="0.3">
      <c r="F28" s="44" t="s">
        <v>14</v>
      </c>
      <c r="G28" s="50">
        <f t="shared" si="3"/>
        <v>53700</v>
      </c>
      <c r="H28" s="50">
        <f t="shared" ca="1" si="3"/>
        <v>12357.127499999979</v>
      </c>
      <c r="I28" s="58">
        <f t="shared" ca="1" si="3"/>
        <v>250599.99999999997</v>
      </c>
    </row>
    <row r="29" spans="1:11" ht="15" thickBot="1" x14ac:dyDescent="0.35">
      <c r="A29" s="21"/>
      <c r="B29" s="21"/>
      <c r="C29" s="21"/>
      <c r="F29" s="56" t="s">
        <v>15</v>
      </c>
      <c r="G29" s="59">
        <f t="shared" si="3"/>
        <v>186900</v>
      </c>
      <c r="H29" s="59">
        <f t="shared" ca="1" si="3"/>
        <v>144757.12749999997</v>
      </c>
      <c r="I29" s="60">
        <f t="shared" ca="1" si="3"/>
        <v>428200</v>
      </c>
      <c r="K29" s="18">
        <f ca="1">H29-39000</f>
        <v>105757.12749999997</v>
      </c>
    </row>
  </sheetData>
  <mergeCells count="5">
    <mergeCell ref="A1:C3"/>
    <mergeCell ref="F24:I24"/>
    <mergeCell ref="F1:G3"/>
    <mergeCell ref="F5:I5"/>
    <mergeCell ref="F16:I16"/>
  </mergeCells>
  <phoneticPr fontId="13" type="noConversion"/>
  <conditionalFormatting sqref="B26:D2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0"/>
  <sheetViews>
    <sheetView workbookViewId="0">
      <selection activeCell="D11" sqref="D11"/>
    </sheetView>
  </sheetViews>
  <sheetFormatPr baseColWidth="10" defaultRowHeight="14.4" x14ac:dyDescent="0.3"/>
  <cols>
    <col min="1" max="1" width="14.44140625" customWidth="1"/>
    <col min="2" max="2" width="15.109375" style="9" customWidth="1"/>
    <col min="3" max="3" width="10.88671875" customWidth="1"/>
    <col min="4" max="4" width="27.44140625" customWidth="1"/>
    <col min="5" max="5" width="15.44140625" customWidth="1"/>
    <col min="7" max="7" width="31.109375" customWidth="1"/>
    <col min="8" max="8" width="15.5546875" customWidth="1"/>
  </cols>
  <sheetData>
    <row r="1" spans="1:9" x14ac:dyDescent="0.3">
      <c r="A1" s="145" t="s">
        <v>71</v>
      </c>
      <c r="B1" s="146"/>
      <c r="D1" s="65" t="s">
        <v>262</v>
      </c>
      <c r="E1" s="63">
        <f>SUM(B7:B1390)</f>
        <v>0</v>
      </c>
    </row>
    <row r="2" spans="1:9" x14ac:dyDescent="0.3">
      <c r="A2" s="131"/>
      <c r="B2" s="147"/>
      <c r="D2" s="66" t="s">
        <v>74</v>
      </c>
      <c r="E2" s="63">
        <f>SUM(E7:E1390)</f>
        <v>84538.85</v>
      </c>
    </row>
    <row r="3" spans="1:9" ht="15" thickBot="1" x14ac:dyDescent="0.35">
      <c r="A3" s="148"/>
      <c r="B3" s="149"/>
      <c r="D3" s="67" t="s">
        <v>54</v>
      </c>
      <c r="E3" s="63">
        <f>SUM(H7:H1390)</f>
        <v>0</v>
      </c>
    </row>
    <row r="5" spans="1:9" ht="15" x14ac:dyDescent="0.25">
      <c r="A5" s="150" t="s">
        <v>50</v>
      </c>
      <c r="B5" s="150"/>
      <c r="C5" s="150"/>
      <c r="D5" s="151" t="s">
        <v>51</v>
      </c>
      <c r="E5" s="152"/>
      <c r="F5" s="153"/>
      <c r="G5" s="154" t="s">
        <v>271</v>
      </c>
      <c r="H5" s="155"/>
      <c r="I5" s="156"/>
    </row>
    <row r="6" spans="1:9" ht="15" x14ac:dyDescent="0.25">
      <c r="A6" s="40" t="s">
        <v>73</v>
      </c>
      <c r="B6" s="40" t="s">
        <v>8</v>
      </c>
      <c r="C6" s="40" t="s">
        <v>72</v>
      </c>
      <c r="D6" s="69" t="s">
        <v>73</v>
      </c>
      <c r="E6" s="69" t="s">
        <v>8</v>
      </c>
      <c r="F6" s="69" t="s">
        <v>72</v>
      </c>
      <c r="G6" s="72" t="s">
        <v>73</v>
      </c>
      <c r="H6" s="72" t="s">
        <v>8</v>
      </c>
      <c r="I6" s="72" t="s">
        <v>72</v>
      </c>
    </row>
    <row r="7" spans="1:9" ht="15" x14ac:dyDescent="0.25">
      <c r="A7" s="27"/>
      <c r="B7" s="76"/>
      <c r="C7" s="77"/>
      <c r="D7" s="70" t="s">
        <v>281</v>
      </c>
      <c r="E7" s="71">
        <v>18158.849999999999</v>
      </c>
      <c r="F7" s="70"/>
      <c r="G7" s="73"/>
      <c r="H7" s="74"/>
      <c r="I7" s="73"/>
    </row>
    <row r="8" spans="1:9" ht="15" x14ac:dyDescent="0.25">
      <c r="A8" s="27"/>
      <c r="B8" s="76"/>
      <c r="C8" s="27"/>
      <c r="D8" s="70" t="s">
        <v>282</v>
      </c>
      <c r="E8" s="71">
        <v>43380</v>
      </c>
      <c r="F8" s="70"/>
      <c r="G8" s="73"/>
      <c r="H8" s="74"/>
      <c r="I8" s="73"/>
    </row>
    <row r="9" spans="1:9" ht="15" x14ac:dyDescent="0.25">
      <c r="A9" s="27"/>
      <c r="B9" s="76"/>
      <c r="C9" s="27"/>
      <c r="D9" s="70" t="s">
        <v>297</v>
      </c>
      <c r="E9" s="71">
        <v>15000</v>
      </c>
      <c r="F9" s="70"/>
      <c r="G9" s="73"/>
      <c r="H9" s="74"/>
      <c r="I9" s="73"/>
    </row>
    <row r="10" spans="1:9" ht="15" x14ac:dyDescent="0.25">
      <c r="A10" s="27"/>
      <c r="B10" s="76"/>
      <c r="C10" s="27"/>
      <c r="D10" s="70" t="s">
        <v>298</v>
      </c>
      <c r="E10" s="71">
        <v>8000</v>
      </c>
      <c r="F10" s="70"/>
      <c r="G10" s="73"/>
      <c r="H10" s="74"/>
      <c r="I10" s="73"/>
    </row>
    <row r="11" spans="1:9" ht="15" x14ac:dyDescent="0.25">
      <c r="A11" s="27"/>
      <c r="B11" s="76"/>
      <c r="C11" s="27"/>
      <c r="D11" s="70"/>
      <c r="E11" s="71"/>
      <c r="F11" s="70"/>
      <c r="G11" s="73"/>
      <c r="H11" s="74"/>
      <c r="I11" s="73"/>
    </row>
    <row r="12" spans="1:9" ht="15" x14ac:dyDescent="0.25">
      <c r="A12" s="27"/>
      <c r="B12" s="76"/>
      <c r="C12" s="27"/>
      <c r="D12" s="70"/>
      <c r="E12" s="71"/>
      <c r="F12" s="70"/>
      <c r="G12" s="73"/>
      <c r="H12" s="74"/>
      <c r="I12" s="73"/>
    </row>
    <row r="13" spans="1:9" ht="15" x14ac:dyDescent="0.25">
      <c r="A13" s="27"/>
      <c r="B13" s="76"/>
      <c r="C13" s="27"/>
      <c r="D13" s="70"/>
      <c r="E13" s="71"/>
      <c r="F13" s="70"/>
      <c r="G13" s="73"/>
      <c r="H13" s="74"/>
      <c r="I13" s="73"/>
    </row>
    <row r="14" spans="1:9" ht="15" x14ac:dyDescent="0.25">
      <c r="A14" s="27"/>
      <c r="B14" s="76"/>
      <c r="C14" s="27"/>
      <c r="D14" s="70"/>
      <c r="E14" s="71"/>
      <c r="F14" s="70"/>
      <c r="G14" s="73"/>
      <c r="H14" s="74"/>
      <c r="I14" s="73"/>
    </row>
    <row r="15" spans="1:9" ht="15" x14ac:dyDescent="0.25">
      <c r="A15" s="27"/>
      <c r="B15" s="76"/>
      <c r="C15" s="27"/>
      <c r="D15" s="70"/>
      <c r="E15" s="71"/>
      <c r="F15" s="70"/>
      <c r="G15" s="73"/>
      <c r="H15" s="74"/>
      <c r="I15" s="73"/>
    </row>
    <row r="16" spans="1:9" ht="15" x14ac:dyDescent="0.25">
      <c r="A16" s="27"/>
      <c r="B16" s="76"/>
      <c r="C16" s="27"/>
      <c r="D16" s="70"/>
      <c r="E16" s="71"/>
      <c r="F16" s="70"/>
      <c r="G16" s="73"/>
      <c r="H16" s="74"/>
      <c r="I16" s="73"/>
    </row>
    <row r="17" spans="1:9" ht="15" x14ac:dyDescent="0.25">
      <c r="A17" s="27"/>
      <c r="B17" s="76"/>
      <c r="C17" s="27"/>
      <c r="D17" s="70"/>
      <c r="E17" s="71"/>
      <c r="F17" s="70"/>
      <c r="G17" s="73"/>
      <c r="H17" s="74"/>
      <c r="I17" s="73"/>
    </row>
    <row r="18" spans="1:9" ht="15" x14ac:dyDescent="0.25">
      <c r="A18" s="27"/>
      <c r="B18" s="76"/>
      <c r="C18" s="27"/>
      <c r="D18" s="70"/>
      <c r="E18" s="71"/>
      <c r="F18" s="70"/>
      <c r="G18" s="73"/>
      <c r="H18" s="74"/>
      <c r="I18" s="73"/>
    </row>
    <row r="19" spans="1:9" ht="15" x14ac:dyDescent="0.25">
      <c r="A19" s="27"/>
      <c r="B19" s="76"/>
      <c r="C19" s="27"/>
      <c r="D19" s="70"/>
      <c r="E19" s="71"/>
      <c r="F19" s="70"/>
      <c r="G19" s="73"/>
      <c r="H19" s="74"/>
      <c r="I19" s="73"/>
    </row>
    <row r="20" spans="1:9" ht="15" x14ac:dyDescent="0.25">
      <c r="A20" s="27"/>
      <c r="B20" s="76"/>
      <c r="C20" s="27"/>
      <c r="D20" s="70"/>
      <c r="E20" s="71"/>
      <c r="F20" s="70"/>
      <c r="G20" s="73"/>
      <c r="H20" s="74"/>
      <c r="I20" s="73"/>
    </row>
    <row r="21" spans="1:9" ht="15" x14ac:dyDescent="0.25">
      <c r="A21" s="27"/>
      <c r="B21" s="76"/>
      <c r="C21" s="27"/>
      <c r="D21" s="70"/>
      <c r="E21" s="71"/>
      <c r="F21" s="70"/>
      <c r="G21" s="73"/>
      <c r="H21" s="74"/>
      <c r="I21" s="73"/>
    </row>
    <row r="22" spans="1:9" ht="15" x14ac:dyDescent="0.25">
      <c r="A22" s="27"/>
      <c r="B22" s="76"/>
      <c r="C22" s="27"/>
      <c r="D22" s="70"/>
      <c r="E22" s="71"/>
      <c r="F22" s="70"/>
      <c r="G22" s="73"/>
      <c r="H22" s="74"/>
      <c r="I22" s="73"/>
    </row>
    <row r="23" spans="1:9" ht="15" x14ac:dyDescent="0.25">
      <c r="A23" s="27"/>
      <c r="B23" s="76"/>
      <c r="C23" s="27"/>
      <c r="D23" s="70"/>
      <c r="E23" s="71"/>
      <c r="F23" s="70"/>
      <c r="G23" s="73"/>
      <c r="H23" s="74"/>
      <c r="I23" s="73"/>
    </row>
    <row r="24" spans="1:9" ht="15" x14ac:dyDescent="0.25">
      <c r="A24" s="27"/>
      <c r="B24" s="76"/>
      <c r="C24" s="27"/>
      <c r="D24" s="70"/>
      <c r="E24" s="71"/>
      <c r="F24" s="70"/>
      <c r="G24" s="73"/>
      <c r="H24" s="74"/>
      <c r="I24" s="73"/>
    </row>
    <row r="25" spans="1:9" ht="15" x14ac:dyDescent="0.25">
      <c r="A25" s="27"/>
      <c r="B25" s="76"/>
      <c r="C25" s="27"/>
      <c r="D25" s="70"/>
      <c r="E25" s="71"/>
      <c r="F25" s="70"/>
      <c r="G25" s="73"/>
      <c r="H25" s="74"/>
      <c r="I25" s="73"/>
    </row>
    <row r="26" spans="1:9" ht="15" x14ac:dyDescent="0.25">
      <c r="A26" s="27"/>
      <c r="B26" s="76"/>
      <c r="C26" s="27"/>
      <c r="D26" s="70"/>
      <c r="E26" s="71"/>
      <c r="F26" s="70"/>
      <c r="G26" s="73"/>
      <c r="H26" s="74"/>
      <c r="I26" s="73"/>
    </row>
    <row r="27" spans="1:9" ht="15" x14ac:dyDescent="0.25">
      <c r="A27" s="27"/>
      <c r="B27" s="76"/>
      <c r="C27" s="27"/>
      <c r="D27" s="70"/>
      <c r="E27" s="71"/>
      <c r="F27" s="70"/>
      <c r="G27" s="73"/>
      <c r="H27" s="74"/>
      <c r="I27" s="73"/>
    </row>
    <row r="28" spans="1:9" ht="15" x14ac:dyDescent="0.25">
      <c r="A28" s="27"/>
      <c r="B28" s="76"/>
      <c r="C28" s="27"/>
      <c r="D28" s="70"/>
      <c r="E28" s="71"/>
      <c r="F28" s="70"/>
      <c r="G28" s="73"/>
      <c r="H28" s="74"/>
      <c r="I28" s="73"/>
    </row>
    <row r="29" spans="1:9" ht="15" x14ac:dyDescent="0.25">
      <c r="A29" s="27"/>
      <c r="B29" s="76"/>
      <c r="C29" s="27"/>
      <c r="D29" s="70"/>
      <c r="E29" s="71"/>
      <c r="F29" s="70"/>
      <c r="G29" s="73"/>
      <c r="H29" s="74"/>
      <c r="I29" s="73"/>
    </row>
    <row r="30" spans="1:9" ht="15" x14ac:dyDescent="0.25">
      <c r="A30" s="27"/>
      <c r="B30" s="76"/>
      <c r="C30" s="27"/>
      <c r="D30" s="70"/>
      <c r="E30" s="71"/>
      <c r="F30" s="70"/>
      <c r="G30" s="73"/>
      <c r="H30" s="74"/>
      <c r="I30" s="73"/>
    </row>
    <row r="31" spans="1:9" ht="15" x14ac:dyDescent="0.25">
      <c r="A31" s="27"/>
      <c r="B31" s="76"/>
      <c r="C31" s="27"/>
      <c r="D31" s="70"/>
      <c r="E31" s="71"/>
      <c r="F31" s="70"/>
      <c r="G31" s="73"/>
      <c r="H31" s="74"/>
      <c r="I31" s="73"/>
    </row>
    <row r="32" spans="1:9" ht="15" x14ac:dyDescent="0.25">
      <c r="A32" s="27"/>
      <c r="B32" s="76"/>
      <c r="C32" s="27"/>
      <c r="D32" s="70"/>
      <c r="E32" s="71"/>
      <c r="F32" s="70"/>
      <c r="G32" s="73"/>
      <c r="H32" s="74"/>
      <c r="I32" s="73"/>
    </row>
    <row r="33" spans="1:9" ht="15" x14ac:dyDescent="0.25">
      <c r="A33" s="27"/>
      <c r="B33" s="76"/>
      <c r="C33" s="27"/>
      <c r="D33" s="70"/>
      <c r="E33" s="71"/>
      <c r="F33" s="70"/>
      <c r="G33" s="73"/>
      <c r="H33" s="74"/>
      <c r="I33" s="73"/>
    </row>
    <row r="34" spans="1:9" ht="15" x14ac:dyDescent="0.25">
      <c r="A34" s="27"/>
      <c r="B34" s="76"/>
      <c r="C34" s="27"/>
      <c r="D34" s="70"/>
      <c r="E34" s="71"/>
      <c r="F34" s="70"/>
      <c r="G34" s="73"/>
      <c r="H34" s="74"/>
      <c r="I34" s="73"/>
    </row>
    <row r="35" spans="1:9" ht="15" x14ac:dyDescent="0.25">
      <c r="A35" s="27"/>
      <c r="B35" s="76"/>
      <c r="C35" s="27"/>
      <c r="D35" s="70"/>
      <c r="E35" s="71"/>
      <c r="F35" s="70"/>
      <c r="G35" s="73"/>
      <c r="H35" s="74"/>
      <c r="I35" s="73"/>
    </row>
    <row r="36" spans="1:9" ht="15" x14ac:dyDescent="0.25">
      <c r="A36" s="27"/>
      <c r="B36" s="76"/>
      <c r="C36" s="27"/>
      <c r="D36" s="70"/>
      <c r="E36" s="71"/>
      <c r="F36" s="70"/>
      <c r="G36" s="73"/>
      <c r="H36" s="74"/>
      <c r="I36" s="73"/>
    </row>
    <row r="37" spans="1:9" ht="15" x14ac:dyDescent="0.25">
      <c r="A37" s="27"/>
      <c r="B37" s="76"/>
      <c r="C37" s="27"/>
      <c r="D37" s="70"/>
      <c r="E37" s="71"/>
      <c r="F37" s="70"/>
      <c r="G37" s="73"/>
      <c r="H37" s="74"/>
      <c r="I37" s="73"/>
    </row>
    <row r="38" spans="1:9" ht="15" x14ac:dyDescent="0.25">
      <c r="A38" s="27"/>
      <c r="B38" s="76"/>
      <c r="C38" s="27"/>
      <c r="D38" s="70"/>
      <c r="E38" s="71"/>
      <c r="F38" s="70"/>
      <c r="G38" s="73"/>
      <c r="H38" s="74"/>
      <c r="I38" s="73"/>
    </row>
    <row r="39" spans="1:9" ht="15" x14ac:dyDescent="0.25">
      <c r="A39" s="27"/>
      <c r="B39" s="76"/>
      <c r="C39" s="27"/>
      <c r="D39" s="70"/>
      <c r="E39" s="71"/>
      <c r="F39" s="70"/>
      <c r="G39" s="73"/>
      <c r="H39" s="74"/>
      <c r="I39" s="73"/>
    </row>
    <row r="40" spans="1:9" ht="15" x14ac:dyDescent="0.25">
      <c r="A40" s="27"/>
      <c r="B40" s="76"/>
      <c r="C40" s="27"/>
      <c r="D40" s="70"/>
      <c r="E40" s="71"/>
      <c r="F40" s="70"/>
      <c r="G40" s="73"/>
      <c r="H40" s="74"/>
      <c r="I40" s="73"/>
    </row>
    <row r="41" spans="1:9" x14ac:dyDescent="0.3">
      <c r="A41" s="27"/>
      <c r="B41" s="76"/>
      <c r="C41" s="27"/>
      <c r="D41" s="70"/>
      <c r="E41" s="71"/>
      <c r="F41" s="70"/>
      <c r="G41" s="73"/>
      <c r="H41" s="74"/>
      <c r="I41" s="73"/>
    </row>
    <row r="42" spans="1:9" x14ac:dyDescent="0.3">
      <c r="A42" s="27"/>
      <c r="B42" s="76"/>
      <c r="C42" s="27"/>
      <c r="D42" s="70"/>
      <c r="E42" s="71"/>
      <c r="F42" s="70"/>
      <c r="G42" s="73"/>
      <c r="H42" s="74"/>
      <c r="I42" s="73"/>
    </row>
    <row r="43" spans="1:9" x14ac:dyDescent="0.3">
      <c r="A43" s="27"/>
      <c r="B43" s="76"/>
      <c r="C43" s="27"/>
      <c r="D43" s="70"/>
      <c r="E43" s="71"/>
      <c r="F43" s="70"/>
      <c r="G43" s="73"/>
      <c r="H43" s="74"/>
      <c r="I43" s="73"/>
    </row>
    <row r="44" spans="1:9" x14ac:dyDescent="0.3">
      <c r="A44" s="27"/>
      <c r="B44" s="76"/>
      <c r="C44" s="27"/>
      <c r="D44" s="70"/>
      <c r="E44" s="71"/>
      <c r="F44" s="70"/>
      <c r="G44" s="73"/>
      <c r="H44" s="74"/>
      <c r="I44" s="73"/>
    </row>
    <row r="45" spans="1:9" x14ac:dyDescent="0.3">
      <c r="A45" s="27"/>
      <c r="B45" s="76"/>
      <c r="C45" s="27"/>
      <c r="D45" s="70"/>
      <c r="E45" s="71"/>
      <c r="F45" s="70"/>
      <c r="G45" s="73"/>
      <c r="H45" s="74"/>
      <c r="I45" s="73"/>
    </row>
    <row r="46" spans="1:9" x14ac:dyDescent="0.3">
      <c r="A46" s="27"/>
      <c r="B46" s="76"/>
      <c r="C46" s="27"/>
      <c r="D46" s="70"/>
      <c r="E46" s="71"/>
      <c r="F46" s="70"/>
      <c r="G46" s="73"/>
      <c r="H46" s="74"/>
      <c r="I46" s="73"/>
    </row>
    <row r="47" spans="1:9" x14ac:dyDescent="0.3">
      <c r="A47" s="27"/>
      <c r="B47" s="76"/>
      <c r="C47" s="27"/>
      <c r="D47" s="70"/>
      <c r="E47" s="71"/>
      <c r="F47" s="70"/>
      <c r="G47" s="73"/>
      <c r="H47" s="74"/>
      <c r="I47" s="73"/>
    </row>
    <row r="48" spans="1:9" x14ac:dyDescent="0.3">
      <c r="A48" s="27"/>
      <c r="B48" s="76"/>
      <c r="C48" s="27"/>
      <c r="D48" s="70"/>
      <c r="E48" s="71"/>
      <c r="F48" s="70"/>
      <c r="G48" s="73"/>
      <c r="H48" s="74"/>
      <c r="I48" s="73"/>
    </row>
    <row r="49" spans="1:9" x14ac:dyDescent="0.3">
      <c r="A49" s="27"/>
      <c r="B49" s="76"/>
      <c r="C49" s="27"/>
      <c r="D49" s="70"/>
      <c r="E49" s="71"/>
      <c r="F49" s="70"/>
      <c r="G49" s="73"/>
      <c r="H49" s="74"/>
      <c r="I49" s="73"/>
    </row>
    <row r="50" spans="1:9" x14ac:dyDescent="0.3">
      <c r="A50" s="27"/>
      <c r="B50" s="76"/>
      <c r="C50" s="27"/>
      <c r="D50" s="70"/>
      <c r="E50" s="71"/>
      <c r="F50" s="70"/>
      <c r="G50" s="73"/>
      <c r="H50" s="74"/>
      <c r="I50" s="73"/>
    </row>
    <row r="51" spans="1:9" x14ac:dyDescent="0.3">
      <c r="A51" s="27"/>
      <c r="B51" s="76"/>
      <c r="C51" s="27"/>
      <c r="D51" s="70"/>
      <c r="E51" s="71"/>
      <c r="F51" s="70"/>
      <c r="G51" s="73"/>
      <c r="H51" s="74"/>
      <c r="I51" s="73"/>
    </row>
    <row r="52" spans="1:9" x14ac:dyDescent="0.3">
      <c r="A52" s="27"/>
      <c r="B52" s="76"/>
      <c r="C52" s="27"/>
      <c r="D52" s="70"/>
      <c r="E52" s="71"/>
      <c r="F52" s="70"/>
      <c r="G52" s="73"/>
      <c r="H52" s="74"/>
      <c r="I52" s="73"/>
    </row>
    <row r="53" spans="1:9" x14ac:dyDescent="0.3">
      <c r="A53" s="27"/>
      <c r="B53" s="76"/>
      <c r="C53" s="27"/>
      <c r="D53" s="70"/>
      <c r="E53" s="71"/>
      <c r="F53" s="70"/>
      <c r="G53" s="73"/>
      <c r="H53" s="74"/>
      <c r="I53" s="73"/>
    </row>
    <row r="54" spans="1:9" x14ac:dyDescent="0.3">
      <c r="A54" s="27"/>
      <c r="B54" s="76"/>
      <c r="C54" s="27"/>
      <c r="D54" s="70"/>
      <c r="E54" s="71"/>
      <c r="F54" s="70"/>
      <c r="G54" s="73"/>
      <c r="H54" s="74"/>
      <c r="I54" s="73"/>
    </row>
    <row r="55" spans="1:9" x14ac:dyDescent="0.3">
      <c r="A55" s="27"/>
      <c r="B55" s="76"/>
      <c r="C55" s="27"/>
      <c r="D55" s="70"/>
      <c r="E55" s="71"/>
      <c r="F55" s="70"/>
      <c r="G55" s="73"/>
      <c r="H55" s="74"/>
      <c r="I55" s="73"/>
    </row>
    <row r="56" spans="1:9" x14ac:dyDescent="0.3">
      <c r="A56" s="27"/>
      <c r="B56" s="76"/>
      <c r="C56" s="27"/>
      <c r="D56" s="70"/>
      <c r="E56" s="71"/>
      <c r="F56" s="70"/>
      <c r="G56" s="73"/>
      <c r="H56" s="74"/>
      <c r="I56" s="73"/>
    </row>
    <row r="57" spans="1:9" x14ac:dyDescent="0.3">
      <c r="A57" s="27"/>
      <c r="B57" s="76"/>
      <c r="C57" s="27"/>
      <c r="D57" s="70"/>
      <c r="E57" s="71"/>
      <c r="F57" s="70"/>
      <c r="G57" s="73"/>
      <c r="H57" s="74"/>
      <c r="I57" s="73"/>
    </row>
    <row r="58" spans="1:9" x14ac:dyDescent="0.3">
      <c r="A58" s="27"/>
      <c r="B58" s="76"/>
      <c r="C58" s="27"/>
      <c r="D58" s="70"/>
      <c r="E58" s="71"/>
      <c r="F58" s="70"/>
      <c r="G58" s="73"/>
      <c r="H58" s="74"/>
      <c r="I58" s="73"/>
    </row>
    <row r="59" spans="1:9" x14ac:dyDescent="0.3">
      <c r="A59" s="27"/>
      <c r="B59" s="76"/>
      <c r="C59" s="27"/>
      <c r="D59" s="70"/>
      <c r="E59" s="71"/>
      <c r="F59" s="70"/>
      <c r="G59" s="73"/>
      <c r="H59" s="74"/>
      <c r="I59" s="73"/>
    </row>
    <row r="60" spans="1:9" x14ac:dyDescent="0.3">
      <c r="A60" s="27"/>
      <c r="B60" s="76"/>
      <c r="C60" s="27"/>
      <c r="D60" s="70"/>
      <c r="E60" s="71"/>
      <c r="F60" s="70"/>
      <c r="G60" s="73"/>
      <c r="H60" s="74"/>
      <c r="I60" s="73"/>
    </row>
    <row r="61" spans="1:9" x14ac:dyDescent="0.3">
      <c r="A61" s="27"/>
      <c r="B61" s="76"/>
      <c r="C61" s="27"/>
      <c r="D61" s="70"/>
      <c r="E61" s="71"/>
      <c r="F61" s="70"/>
      <c r="G61" s="73"/>
      <c r="H61" s="74"/>
      <c r="I61" s="73"/>
    </row>
    <row r="62" spans="1:9" x14ac:dyDescent="0.3">
      <c r="A62" s="27"/>
      <c r="B62" s="76"/>
      <c r="C62" s="27"/>
      <c r="D62" s="70"/>
      <c r="E62" s="71"/>
      <c r="F62" s="70"/>
      <c r="G62" s="73"/>
      <c r="H62" s="74"/>
      <c r="I62" s="73"/>
    </row>
    <row r="63" spans="1:9" x14ac:dyDescent="0.3">
      <c r="A63" s="27"/>
      <c r="B63" s="76"/>
      <c r="C63" s="27"/>
      <c r="D63" s="70"/>
      <c r="E63" s="71"/>
      <c r="F63" s="70"/>
      <c r="G63" s="73"/>
      <c r="H63" s="74"/>
      <c r="I63" s="73"/>
    </row>
    <row r="64" spans="1:9" x14ac:dyDescent="0.3">
      <c r="A64" s="27"/>
      <c r="B64" s="76"/>
      <c r="C64" s="27"/>
      <c r="D64" s="70"/>
      <c r="E64" s="71"/>
      <c r="F64" s="70"/>
      <c r="G64" s="73"/>
      <c r="H64" s="74"/>
      <c r="I64" s="73"/>
    </row>
    <row r="65" spans="1:9" x14ac:dyDescent="0.3">
      <c r="A65" s="27"/>
      <c r="B65" s="76"/>
      <c r="C65" s="27"/>
      <c r="D65" s="70"/>
      <c r="E65" s="71"/>
      <c r="F65" s="70"/>
      <c r="G65" s="73"/>
      <c r="H65" s="74"/>
      <c r="I65" s="73"/>
    </row>
    <row r="66" spans="1:9" x14ac:dyDescent="0.3">
      <c r="A66" s="27"/>
      <c r="B66" s="76"/>
      <c r="C66" s="27"/>
      <c r="D66" s="70"/>
      <c r="E66" s="71"/>
      <c r="F66" s="70"/>
      <c r="G66" s="73"/>
      <c r="H66" s="74"/>
      <c r="I66" s="73"/>
    </row>
    <row r="67" spans="1:9" x14ac:dyDescent="0.3">
      <c r="A67" s="27"/>
      <c r="B67" s="76"/>
      <c r="C67" s="27"/>
      <c r="D67" s="70"/>
      <c r="E67" s="71"/>
      <c r="F67" s="70"/>
      <c r="G67" s="73"/>
      <c r="H67" s="74"/>
      <c r="I67" s="73"/>
    </row>
    <row r="68" spans="1:9" x14ac:dyDescent="0.3">
      <c r="A68" s="27"/>
      <c r="B68" s="76"/>
      <c r="C68" s="27"/>
      <c r="D68" s="70"/>
      <c r="E68" s="71"/>
      <c r="F68" s="70"/>
      <c r="G68" s="73"/>
      <c r="H68" s="74"/>
      <c r="I68" s="73"/>
    </row>
    <row r="69" spans="1:9" x14ac:dyDescent="0.3">
      <c r="A69" s="27"/>
      <c r="B69" s="76"/>
      <c r="C69" s="27"/>
      <c r="D69" s="70"/>
      <c r="E69" s="71"/>
      <c r="F69" s="70"/>
      <c r="G69" s="73"/>
      <c r="H69" s="74"/>
      <c r="I69" s="73"/>
    </row>
    <row r="70" spans="1:9" x14ac:dyDescent="0.3">
      <c r="A70" s="27"/>
      <c r="B70" s="76"/>
      <c r="C70" s="27"/>
      <c r="D70" s="70"/>
      <c r="E70" s="71"/>
      <c r="F70" s="70"/>
      <c r="G70" s="73"/>
      <c r="H70" s="74"/>
      <c r="I70" s="73"/>
    </row>
    <row r="71" spans="1:9" x14ac:dyDescent="0.3">
      <c r="A71" s="27"/>
      <c r="B71" s="76"/>
      <c r="C71" s="27"/>
      <c r="D71" s="70"/>
      <c r="E71" s="71"/>
      <c r="F71" s="70"/>
      <c r="G71" s="73"/>
      <c r="H71" s="74"/>
      <c r="I71" s="73"/>
    </row>
    <row r="72" spans="1:9" x14ac:dyDescent="0.3">
      <c r="A72" s="27"/>
      <c r="B72" s="76"/>
      <c r="C72" s="27"/>
      <c r="D72" s="70"/>
      <c r="E72" s="71"/>
      <c r="F72" s="70"/>
      <c r="G72" s="73"/>
      <c r="H72" s="74"/>
      <c r="I72" s="73"/>
    </row>
    <row r="73" spans="1:9" x14ac:dyDescent="0.3">
      <c r="A73" s="27"/>
      <c r="B73" s="76"/>
      <c r="C73" s="27"/>
      <c r="D73" s="70"/>
      <c r="E73" s="71"/>
      <c r="F73" s="70"/>
      <c r="G73" s="73"/>
      <c r="H73" s="74"/>
      <c r="I73" s="73"/>
    </row>
    <row r="74" spans="1:9" x14ac:dyDescent="0.3">
      <c r="A74" s="27"/>
      <c r="B74" s="76"/>
      <c r="C74" s="27"/>
      <c r="D74" s="70"/>
      <c r="E74" s="71"/>
      <c r="F74" s="70"/>
      <c r="G74" s="73"/>
      <c r="H74" s="74"/>
      <c r="I74" s="73"/>
    </row>
    <row r="75" spans="1:9" x14ac:dyDescent="0.3">
      <c r="A75" s="27"/>
      <c r="B75" s="76"/>
      <c r="C75" s="27"/>
      <c r="D75" s="70"/>
      <c r="E75" s="71"/>
      <c r="F75" s="70"/>
      <c r="G75" s="73"/>
      <c r="H75" s="74"/>
      <c r="I75" s="73"/>
    </row>
    <row r="76" spans="1:9" x14ac:dyDescent="0.3">
      <c r="A76" s="27"/>
      <c r="B76" s="76"/>
      <c r="C76" s="27"/>
      <c r="D76" s="70"/>
      <c r="E76" s="71"/>
      <c r="F76" s="70"/>
      <c r="G76" s="73"/>
      <c r="H76" s="74"/>
      <c r="I76" s="73"/>
    </row>
    <row r="77" spans="1:9" x14ac:dyDescent="0.3">
      <c r="A77" s="27"/>
      <c r="B77" s="76"/>
      <c r="C77" s="27"/>
      <c r="D77" s="70"/>
      <c r="E77" s="71"/>
      <c r="F77" s="70"/>
      <c r="G77" s="73"/>
      <c r="H77" s="74"/>
      <c r="I77" s="73"/>
    </row>
    <row r="78" spans="1:9" x14ac:dyDescent="0.3">
      <c r="A78" s="27"/>
      <c r="B78" s="76"/>
      <c r="C78" s="27"/>
      <c r="D78" s="70"/>
      <c r="E78" s="71"/>
      <c r="F78" s="70"/>
      <c r="G78" s="73"/>
      <c r="H78" s="74"/>
      <c r="I78" s="73"/>
    </row>
    <row r="79" spans="1:9" x14ac:dyDescent="0.3">
      <c r="A79" s="27"/>
      <c r="B79" s="76"/>
      <c r="C79" s="27"/>
      <c r="D79" s="70"/>
      <c r="E79" s="71"/>
      <c r="F79" s="70"/>
      <c r="G79" s="73"/>
      <c r="H79" s="74"/>
      <c r="I79" s="73"/>
    </row>
    <row r="80" spans="1:9" x14ac:dyDescent="0.3">
      <c r="A80" s="27"/>
      <c r="B80" s="76"/>
      <c r="C80" s="27"/>
      <c r="D80" s="70"/>
      <c r="E80" s="71"/>
      <c r="F80" s="70"/>
      <c r="G80" s="73"/>
      <c r="H80" s="74"/>
      <c r="I80" s="73"/>
    </row>
    <row r="81" spans="1:9" x14ac:dyDescent="0.3">
      <c r="A81" s="27"/>
      <c r="B81" s="76"/>
      <c r="C81" s="27"/>
      <c r="D81" s="70"/>
      <c r="E81" s="71"/>
      <c r="F81" s="70"/>
      <c r="G81" s="73"/>
      <c r="H81" s="74"/>
      <c r="I81" s="73"/>
    </row>
    <row r="82" spans="1:9" x14ac:dyDescent="0.3">
      <c r="A82" s="27"/>
      <c r="B82" s="76"/>
      <c r="C82" s="27"/>
      <c r="D82" s="70"/>
      <c r="E82" s="71"/>
      <c r="F82" s="70"/>
      <c r="G82" s="73"/>
      <c r="H82" s="74"/>
      <c r="I82" s="73"/>
    </row>
    <row r="83" spans="1:9" x14ac:dyDescent="0.3">
      <c r="A83" s="27"/>
      <c r="B83" s="76"/>
      <c r="C83" s="27"/>
      <c r="D83" s="70"/>
      <c r="E83" s="71"/>
      <c r="F83" s="70"/>
      <c r="G83" s="73"/>
      <c r="H83" s="74"/>
      <c r="I83" s="73"/>
    </row>
    <row r="84" spans="1:9" x14ac:dyDescent="0.3">
      <c r="A84" s="27"/>
      <c r="B84" s="76"/>
      <c r="C84" s="27"/>
      <c r="D84" s="70"/>
      <c r="E84" s="71"/>
      <c r="F84" s="70"/>
      <c r="G84" s="73"/>
      <c r="H84" s="74"/>
      <c r="I84" s="73"/>
    </row>
    <row r="85" spans="1:9" x14ac:dyDescent="0.3">
      <c r="A85" s="27"/>
      <c r="B85" s="76"/>
      <c r="C85" s="27"/>
      <c r="D85" s="70"/>
      <c r="E85" s="71"/>
      <c r="F85" s="70"/>
      <c r="G85" s="73"/>
      <c r="H85" s="74"/>
      <c r="I85" s="73"/>
    </row>
    <row r="86" spans="1:9" x14ac:dyDescent="0.3">
      <c r="A86" s="27"/>
      <c r="B86" s="76"/>
      <c r="C86" s="27"/>
      <c r="D86" s="70"/>
      <c r="E86" s="71"/>
      <c r="F86" s="70"/>
      <c r="G86" s="73"/>
      <c r="H86" s="74"/>
      <c r="I86" s="73"/>
    </row>
    <row r="87" spans="1:9" x14ac:dyDescent="0.3">
      <c r="A87" s="27"/>
      <c r="B87" s="76"/>
      <c r="C87" s="27"/>
      <c r="D87" s="70"/>
      <c r="E87" s="71"/>
      <c r="F87" s="70"/>
      <c r="G87" s="73"/>
      <c r="H87" s="74"/>
      <c r="I87" s="73"/>
    </row>
    <row r="88" spans="1:9" x14ac:dyDescent="0.3">
      <c r="A88" s="27"/>
      <c r="B88" s="76"/>
      <c r="C88" s="27"/>
      <c r="D88" s="70"/>
      <c r="E88" s="71"/>
      <c r="F88" s="70"/>
      <c r="G88" s="73"/>
      <c r="H88" s="74"/>
      <c r="I88" s="73"/>
    </row>
    <row r="89" spans="1:9" x14ac:dyDescent="0.3">
      <c r="A89" s="27"/>
      <c r="B89" s="76"/>
      <c r="C89" s="27"/>
      <c r="D89" s="70"/>
      <c r="E89" s="71"/>
      <c r="F89" s="70"/>
      <c r="G89" s="73"/>
      <c r="H89" s="74"/>
      <c r="I89" s="73"/>
    </row>
    <row r="90" spans="1:9" x14ac:dyDescent="0.3">
      <c r="A90" s="27"/>
      <c r="B90" s="76"/>
      <c r="C90" s="27"/>
      <c r="D90" s="70"/>
      <c r="E90" s="71"/>
      <c r="F90" s="70"/>
      <c r="G90" s="73"/>
      <c r="H90" s="74"/>
      <c r="I90" s="73"/>
    </row>
    <row r="91" spans="1:9" x14ac:dyDescent="0.3">
      <c r="A91" s="27"/>
      <c r="B91" s="76"/>
      <c r="C91" s="27"/>
      <c r="D91" s="70"/>
      <c r="E91" s="71"/>
      <c r="F91" s="70"/>
      <c r="G91" s="73"/>
      <c r="H91" s="74"/>
      <c r="I91" s="73"/>
    </row>
    <row r="92" spans="1:9" x14ac:dyDescent="0.3">
      <c r="A92" s="27"/>
      <c r="B92" s="76"/>
      <c r="C92" s="27"/>
      <c r="D92" s="70"/>
      <c r="E92" s="71"/>
      <c r="F92" s="70"/>
      <c r="G92" s="73"/>
      <c r="H92" s="74"/>
      <c r="I92" s="73"/>
    </row>
    <row r="93" spans="1:9" x14ac:dyDescent="0.3">
      <c r="A93" s="27"/>
      <c r="B93" s="76"/>
      <c r="C93" s="27"/>
      <c r="D93" s="70"/>
      <c r="E93" s="71"/>
      <c r="F93" s="70"/>
      <c r="G93" s="73"/>
      <c r="H93" s="74"/>
      <c r="I93" s="73"/>
    </row>
    <row r="94" spans="1:9" x14ac:dyDescent="0.3">
      <c r="A94" s="27"/>
      <c r="B94" s="76"/>
      <c r="C94" s="27"/>
      <c r="D94" s="70"/>
      <c r="E94" s="71"/>
      <c r="F94" s="70"/>
      <c r="G94" s="73"/>
      <c r="H94" s="74"/>
      <c r="I94" s="73"/>
    </row>
    <row r="95" spans="1:9" x14ac:dyDescent="0.3">
      <c r="A95" s="27"/>
      <c r="B95" s="76"/>
      <c r="C95" s="27"/>
      <c r="D95" s="70"/>
      <c r="E95" s="71"/>
      <c r="F95" s="70"/>
      <c r="G95" s="73"/>
      <c r="H95" s="74"/>
      <c r="I95" s="73"/>
    </row>
    <row r="96" spans="1:9" x14ac:dyDescent="0.3">
      <c r="A96" s="27"/>
      <c r="B96" s="76"/>
      <c r="C96" s="27"/>
      <c r="D96" s="70"/>
      <c r="E96" s="71"/>
      <c r="F96" s="70"/>
      <c r="G96" s="73"/>
      <c r="H96" s="74"/>
      <c r="I96" s="73"/>
    </row>
    <row r="97" spans="1:9" x14ac:dyDescent="0.3">
      <c r="A97" s="27"/>
      <c r="B97" s="76"/>
      <c r="C97" s="27"/>
      <c r="D97" s="70"/>
      <c r="E97" s="71"/>
      <c r="F97" s="70"/>
      <c r="G97" s="73"/>
      <c r="H97" s="74"/>
      <c r="I97" s="73"/>
    </row>
    <row r="98" spans="1:9" x14ac:dyDescent="0.3">
      <c r="A98" s="27"/>
      <c r="B98" s="76"/>
      <c r="C98" s="27"/>
      <c r="D98" s="70"/>
      <c r="E98" s="71"/>
      <c r="F98" s="70"/>
      <c r="G98" s="73"/>
      <c r="H98" s="74"/>
      <c r="I98" s="73"/>
    </row>
    <row r="99" spans="1:9" x14ac:dyDescent="0.3">
      <c r="A99" s="27"/>
      <c r="B99" s="76"/>
      <c r="C99" s="27"/>
      <c r="D99" s="70"/>
      <c r="E99" s="71"/>
      <c r="F99" s="70"/>
      <c r="G99" s="73"/>
      <c r="H99" s="74"/>
      <c r="I99" s="73"/>
    </row>
    <row r="100" spans="1:9" x14ac:dyDescent="0.3">
      <c r="A100" s="27"/>
      <c r="B100" s="76"/>
      <c r="C100" s="27"/>
      <c r="D100" s="70"/>
      <c r="E100" s="71"/>
      <c r="F100" s="70"/>
      <c r="G100" s="73"/>
      <c r="H100" s="74"/>
      <c r="I100" s="73"/>
    </row>
    <row r="101" spans="1:9" x14ac:dyDescent="0.3">
      <c r="A101" s="27"/>
      <c r="B101" s="76"/>
      <c r="C101" s="27"/>
      <c r="D101" s="70"/>
      <c r="E101" s="71"/>
      <c r="F101" s="70"/>
      <c r="G101" s="73"/>
      <c r="H101" s="74"/>
      <c r="I101" s="73"/>
    </row>
    <row r="102" spans="1:9" x14ac:dyDescent="0.3">
      <c r="A102" s="27"/>
      <c r="B102" s="76"/>
      <c r="C102" s="27"/>
      <c r="D102" s="70"/>
      <c r="E102" s="71"/>
      <c r="F102" s="70"/>
      <c r="G102" s="73"/>
      <c r="H102" s="74"/>
      <c r="I102" s="73"/>
    </row>
    <row r="103" spans="1:9" x14ac:dyDescent="0.3">
      <c r="A103" s="27"/>
      <c r="B103" s="76"/>
      <c r="C103" s="27"/>
      <c r="D103" s="70"/>
      <c r="E103" s="71"/>
      <c r="F103" s="70"/>
      <c r="G103" s="73"/>
      <c r="H103" s="74"/>
      <c r="I103" s="73"/>
    </row>
    <row r="104" spans="1:9" x14ac:dyDescent="0.3">
      <c r="A104" s="27"/>
      <c r="B104" s="76"/>
      <c r="C104" s="27"/>
      <c r="D104" s="70"/>
      <c r="E104" s="71"/>
      <c r="F104" s="70"/>
      <c r="G104" s="73"/>
      <c r="H104" s="74"/>
      <c r="I104" s="73"/>
    </row>
    <row r="105" spans="1:9" x14ac:dyDescent="0.3">
      <c r="A105" s="27"/>
      <c r="B105" s="76"/>
      <c r="C105" s="27"/>
      <c r="D105" s="70"/>
      <c r="E105" s="71"/>
      <c r="F105" s="70"/>
      <c r="G105" s="73"/>
      <c r="H105" s="74"/>
      <c r="I105" s="73"/>
    </row>
    <row r="106" spans="1:9" x14ac:dyDescent="0.3">
      <c r="A106" s="27"/>
      <c r="B106" s="76"/>
      <c r="C106" s="27"/>
      <c r="D106" s="70"/>
      <c r="E106" s="71"/>
      <c r="F106" s="70"/>
      <c r="G106" s="73"/>
      <c r="H106" s="74"/>
      <c r="I106" s="73"/>
    </row>
    <row r="107" spans="1:9" x14ac:dyDescent="0.3">
      <c r="A107" s="27"/>
      <c r="B107" s="76"/>
      <c r="C107" s="27"/>
      <c r="D107" s="70"/>
      <c r="E107" s="71"/>
      <c r="F107" s="70"/>
      <c r="G107" s="73"/>
      <c r="H107" s="74"/>
      <c r="I107" s="73"/>
    </row>
    <row r="108" spans="1:9" x14ac:dyDescent="0.3">
      <c r="A108" s="27"/>
      <c r="B108" s="76"/>
      <c r="C108" s="27"/>
      <c r="D108" s="70"/>
      <c r="E108" s="71"/>
      <c r="F108" s="70"/>
      <c r="G108" s="73"/>
      <c r="H108" s="74"/>
      <c r="I108" s="73"/>
    </row>
    <row r="109" spans="1:9" x14ac:dyDescent="0.3">
      <c r="A109" s="27"/>
      <c r="B109" s="76"/>
      <c r="C109" s="27"/>
      <c r="D109" s="70"/>
      <c r="E109" s="71"/>
      <c r="F109" s="70"/>
      <c r="G109" s="73"/>
      <c r="H109" s="74"/>
      <c r="I109" s="73"/>
    </row>
    <row r="110" spans="1:9" x14ac:dyDescent="0.3">
      <c r="A110" s="27"/>
      <c r="B110" s="76"/>
      <c r="C110" s="27"/>
      <c r="D110" s="70"/>
      <c r="E110" s="71"/>
      <c r="F110" s="70"/>
      <c r="G110" s="73"/>
      <c r="H110" s="74"/>
      <c r="I110" s="73"/>
    </row>
    <row r="111" spans="1:9" x14ac:dyDescent="0.3">
      <c r="A111" s="27"/>
      <c r="B111" s="76"/>
      <c r="C111" s="27"/>
      <c r="D111" s="70"/>
      <c r="E111" s="71"/>
      <c r="F111" s="70"/>
      <c r="G111" s="73"/>
      <c r="H111" s="74"/>
      <c r="I111" s="73"/>
    </row>
    <row r="112" spans="1:9" x14ac:dyDescent="0.3">
      <c r="A112" s="27"/>
      <c r="B112" s="76"/>
      <c r="C112" s="27"/>
      <c r="D112" s="70"/>
      <c r="E112" s="71"/>
      <c r="F112" s="70"/>
      <c r="G112" s="73"/>
      <c r="H112" s="74"/>
      <c r="I112" s="73"/>
    </row>
    <row r="113" spans="1:9" x14ac:dyDescent="0.3">
      <c r="A113" s="27"/>
      <c r="B113" s="76"/>
      <c r="C113" s="27"/>
      <c r="D113" s="70"/>
      <c r="E113" s="71"/>
      <c r="F113" s="70"/>
      <c r="G113" s="73"/>
      <c r="H113" s="74"/>
      <c r="I113" s="73"/>
    </row>
    <row r="114" spans="1:9" x14ac:dyDescent="0.3">
      <c r="A114" s="27"/>
      <c r="B114" s="76"/>
      <c r="C114" s="27"/>
      <c r="D114" s="70"/>
      <c r="E114" s="71"/>
      <c r="F114" s="70"/>
      <c r="G114" s="73"/>
      <c r="H114" s="74"/>
      <c r="I114" s="73"/>
    </row>
    <row r="115" spans="1:9" x14ac:dyDescent="0.3">
      <c r="A115" s="27"/>
      <c r="B115" s="76"/>
      <c r="C115" s="27"/>
      <c r="D115" s="70"/>
      <c r="E115" s="71"/>
      <c r="F115" s="70"/>
      <c r="G115" s="73"/>
      <c r="H115" s="74"/>
      <c r="I115" s="73"/>
    </row>
    <row r="116" spans="1:9" x14ac:dyDescent="0.3">
      <c r="A116" s="27"/>
      <c r="B116" s="76"/>
      <c r="C116" s="27"/>
      <c r="D116" s="70"/>
      <c r="E116" s="71"/>
      <c r="F116" s="70"/>
      <c r="G116" s="73"/>
      <c r="H116" s="74"/>
      <c r="I116" s="73"/>
    </row>
    <row r="117" spans="1:9" x14ac:dyDescent="0.3">
      <c r="A117" s="27"/>
      <c r="B117" s="76"/>
      <c r="C117" s="27"/>
      <c r="D117" s="70"/>
      <c r="E117" s="71"/>
      <c r="F117" s="70"/>
      <c r="G117" s="73"/>
      <c r="H117" s="74"/>
      <c r="I117" s="73"/>
    </row>
    <row r="118" spans="1:9" x14ac:dyDescent="0.3">
      <c r="A118" s="27"/>
      <c r="B118" s="76"/>
      <c r="C118" s="27"/>
      <c r="D118" s="70"/>
      <c r="E118" s="71"/>
      <c r="F118" s="70"/>
      <c r="G118" s="73"/>
      <c r="H118" s="74"/>
      <c r="I118" s="73"/>
    </row>
    <row r="119" spans="1:9" x14ac:dyDescent="0.3">
      <c r="A119" s="27"/>
      <c r="B119" s="76"/>
      <c r="C119" s="27"/>
      <c r="D119" s="70"/>
      <c r="E119" s="71"/>
      <c r="F119" s="70"/>
      <c r="G119" s="73"/>
      <c r="H119" s="74"/>
      <c r="I119" s="73"/>
    </row>
    <row r="120" spans="1:9" x14ac:dyDescent="0.3">
      <c r="A120" s="27"/>
      <c r="B120" s="76"/>
      <c r="C120" s="27"/>
      <c r="D120" s="70"/>
      <c r="E120" s="71"/>
      <c r="F120" s="70"/>
      <c r="G120" s="73"/>
      <c r="H120" s="74"/>
      <c r="I120" s="73"/>
    </row>
    <row r="121" spans="1:9" x14ac:dyDescent="0.3">
      <c r="A121" s="27"/>
      <c r="B121" s="76"/>
      <c r="C121" s="27"/>
      <c r="D121" s="70"/>
      <c r="E121" s="71"/>
      <c r="F121" s="70"/>
      <c r="G121" s="73"/>
      <c r="H121" s="74"/>
      <c r="I121" s="73"/>
    </row>
    <row r="122" spans="1:9" x14ac:dyDescent="0.3">
      <c r="A122" s="27"/>
      <c r="B122" s="76"/>
      <c r="C122" s="27"/>
      <c r="D122" s="70"/>
      <c r="E122" s="71"/>
      <c r="F122" s="70"/>
      <c r="G122" s="73"/>
      <c r="H122" s="74"/>
      <c r="I122" s="73"/>
    </row>
    <row r="123" spans="1:9" x14ac:dyDescent="0.3">
      <c r="A123" s="27"/>
      <c r="B123" s="76"/>
      <c r="C123" s="27"/>
      <c r="D123" s="70"/>
      <c r="E123" s="71"/>
      <c r="F123" s="70"/>
      <c r="G123" s="73"/>
      <c r="H123" s="74"/>
      <c r="I123" s="73"/>
    </row>
    <row r="124" spans="1:9" x14ac:dyDescent="0.3">
      <c r="A124" s="27"/>
      <c r="B124" s="76"/>
      <c r="C124" s="27"/>
      <c r="D124" s="70"/>
      <c r="E124" s="71"/>
      <c r="F124" s="70"/>
      <c r="G124" s="73"/>
      <c r="H124" s="74"/>
      <c r="I124" s="73"/>
    </row>
    <row r="125" spans="1:9" x14ac:dyDescent="0.3">
      <c r="A125" s="27"/>
      <c r="B125" s="76"/>
      <c r="C125" s="27"/>
      <c r="D125" s="70"/>
      <c r="E125" s="71"/>
      <c r="F125" s="70"/>
      <c r="G125" s="73"/>
      <c r="H125" s="74"/>
      <c r="I125" s="73"/>
    </row>
    <row r="126" spans="1:9" x14ac:dyDescent="0.3">
      <c r="A126" s="27"/>
      <c r="B126" s="76"/>
      <c r="C126" s="27"/>
      <c r="D126" s="70"/>
      <c r="E126" s="71"/>
      <c r="F126" s="70"/>
      <c r="G126" s="73"/>
      <c r="H126" s="74"/>
      <c r="I126" s="73"/>
    </row>
    <row r="127" spans="1:9" x14ac:dyDescent="0.3">
      <c r="A127" s="27"/>
      <c r="B127" s="76"/>
      <c r="C127" s="27"/>
      <c r="D127" s="70"/>
      <c r="E127" s="71"/>
      <c r="F127" s="70"/>
      <c r="G127" s="73"/>
      <c r="H127" s="74"/>
      <c r="I127" s="73"/>
    </row>
    <row r="128" spans="1:9" x14ac:dyDescent="0.3">
      <c r="A128" s="27"/>
      <c r="B128" s="76"/>
      <c r="C128" s="27"/>
      <c r="D128" s="70"/>
      <c r="E128" s="71"/>
      <c r="F128" s="70"/>
      <c r="G128" s="73"/>
      <c r="H128" s="74"/>
      <c r="I128" s="73"/>
    </row>
    <row r="129" spans="1:9" x14ac:dyDescent="0.3">
      <c r="A129" s="27"/>
      <c r="B129" s="76"/>
      <c r="C129" s="27"/>
      <c r="D129" s="70"/>
      <c r="E129" s="71"/>
      <c r="F129" s="70"/>
      <c r="G129" s="73"/>
      <c r="H129" s="74"/>
      <c r="I129" s="73"/>
    </row>
    <row r="130" spans="1:9" x14ac:dyDescent="0.3">
      <c r="A130" s="27"/>
      <c r="B130" s="76"/>
      <c r="C130" s="27"/>
      <c r="D130" s="70"/>
      <c r="E130" s="71"/>
      <c r="F130" s="70"/>
      <c r="G130" s="73"/>
      <c r="H130" s="74"/>
      <c r="I130" s="73"/>
    </row>
    <row r="131" spans="1:9" x14ac:dyDescent="0.3">
      <c r="A131" s="27"/>
      <c r="B131" s="76"/>
      <c r="C131" s="27"/>
      <c r="D131" s="70"/>
      <c r="E131" s="71"/>
      <c r="F131" s="70"/>
      <c r="G131" s="73"/>
      <c r="H131" s="74"/>
      <c r="I131" s="73"/>
    </row>
    <row r="132" spans="1:9" x14ac:dyDescent="0.3">
      <c r="A132" s="27"/>
      <c r="B132" s="76"/>
      <c r="C132" s="27"/>
      <c r="D132" s="70"/>
      <c r="E132" s="71"/>
      <c r="F132" s="70"/>
      <c r="G132" s="73"/>
      <c r="H132" s="74"/>
      <c r="I132" s="73"/>
    </row>
    <row r="133" spans="1:9" x14ac:dyDescent="0.3">
      <c r="A133" s="27"/>
      <c r="B133" s="76"/>
      <c r="C133" s="27"/>
      <c r="D133" s="70"/>
      <c r="E133" s="71"/>
      <c r="F133" s="70"/>
      <c r="G133" s="73"/>
      <c r="H133" s="74"/>
      <c r="I133" s="73"/>
    </row>
    <row r="134" spans="1:9" x14ac:dyDescent="0.3">
      <c r="A134" s="27"/>
      <c r="B134" s="76"/>
      <c r="C134" s="27"/>
      <c r="D134" s="70"/>
      <c r="E134" s="71"/>
      <c r="F134" s="70"/>
      <c r="G134" s="73"/>
      <c r="H134" s="74"/>
      <c r="I134" s="73"/>
    </row>
    <row r="135" spans="1:9" x14ac:dyDescent="0.3">
      <c r="A135" s="27"/>
      <c r="B135" s="76"/>
      <c r="C135" s="27"/>
      <c r="D135" s="70"/>
      <c r="E135" s="71"/>
      <c r="F135" s="70"/>
      <c r="G135" s="73"/>
      <c r="H135" s="74"/>
      <c r="I135" s="73"/>
    </row>
    <row r="136" spans="1:9" x14ac:dyDescent="0.3">
      <c r="A136" s="27"/>
      <c r="B136" s="76"/>
      <c r="C136" s="27"/>
      <c r="D136" s="70"/>
      <c r="E136" s="71"/>
      <c r="F136" s="70"/>
      <c r="G136" s="73"/>
      <c r="H136" s="74"/>
      <c r="I136" s="73"/>
    </row>
    <row r="137" spans="1:9" x14ac:dyDescent="0.3">
      <c r="A137" s="27"/>
      <c r="B137" s="76"/>
      <c r="C137" s="27"/>
      <c r="D137" s="70"/>
      <c r="E137" s="71"/>
      <c r="F137" s="70"/>
      <c r="G137" s="73"/>
      <c r="H137" s="74"/>
      <c r="I137" s="73"/>
    </row>
    <row r="138" spans="1:9" x14ac:dyDescent="0.3">
      <c r="A138" s="27"/>
      <c r="B138" s="76"/>
      <c r="C138" s="27"/>
      <c r="D138" s="70"/>
      <c r="E138" s="71"/>
      <c r="F138" s="70"/>
      <c r="G138" s="73"/>
      <c r="H138" s="74"/>
      <c r="I138" s="73"/>
    </row>
    <row r="139" spans="1:9" x14ac:dyDescent="0.3">
      <c r="A139" s="27"/>
      <c r="B139" s="76"/>
      <c r="C139" s="27"/>
      <c r="D139" s="70"/>
      <c r="E139" s="71"/>
      <c r="F139" s="70"/>
      <c r="G139" s="73"/>
      <c r="H139" s="74"/>
      <c r="I139" s="73"/>
    </row>
    <row r="140" spans="1:9" x14ac:dyDescent="0.3">
      <c r="A140" s="27"/>
      <c r="B140" s="76"/>
      <c r="C140" s="27"/>
      <c r="D140" s="70"/>
      <c r="E140" s="71"/>
      <c r="F140" s="70"/>
      <c r="G140" s="73"/>
      <c r="H140" s="74"/>
      <c r="I140" s="73"/>
    </row>
    <row r="141" spans="1:9" x14ac:dyDescent="0.3">
      <c r="A141" s="27"/>
      <c r="B141" s="76"/>
      <c r="C141" s="27"/>
      <c r="D141" s="70"/>
      <c r="E141" s="71"/>
      <c r="F141" s="70"/>
      <c r="G141" s="73"/>
      <c r="H141" s="74"/>
      <c r="I141" s="73"/>
    </row>
    <row r="142" spans="1:9" x14ac:dyDescent="0.3">
      <c r="A142" s="27"/>
      <c r="B142" s="76"/>
      <c r="C142" s="27"/>
      <c r="D142" s="70"/>
      <c r="E142" s="71"/>
      <c r="F142" s="70"/>
      <c r="G142" s="73"/>
      <c r="H142" s="74"/>
      <c r="I142" s="73"/>
    </row>
    <row r="143" spans="1:9" x14ac:dyDescent="0.3">
      <c r="A143" s="27"/>
      <c r="B143" s="76"/>
      <c r="C143" s="27"/>
      <c r="D143" s="70"/>
      <c r="E143" s="71"/>
      <c r="F143" s="70"/>
      <c r="G143" s="73"/>
      <c r="H143" s="74"/>
      <c r="I143" s="73"/>
    </row>
    <row r="144" spans="1:9" x14ac:dyDescent="0.3">
      <c r="A144" s="27"/>
      <c r="B144" s="76"/>
      <c r="C144" s="27"/>
      <c r="D144" s="70"/>
      <c r="E144" s="71"/>
      <c r="F144" s="70"/>
      <c r="G144" s="73"/>
      <c r="H144" s="74"/>
      <c r="I144" s="73"/>
    </row>
    <row r="145" spans="1:9" x14ac:dyDescent="0.3">
      <c r="A145" s="27"/>
      <c r="B145" s="76"/>
      <c r="C145" s="27"/>
      <c r="D145" s="70"/>
      <c r="E145" s="71"/>
      <c r="F145" s="70"/>
      <c r="G145" s="73"/>
      <c r="H145" s="74"/>
      <c r="I145" s="73"/>
    </row>
    <row r="146" spans="1:9" x14ac:dyDescent="0.3">
      <c r="A146" s="27"/>
      <c r="B146" s="76"/>
      <c r="C146" s="27"/>
      <c r="D146" s="70"/>
      <c r="E146" s="71"/>
      <c r="F146" s="70"/>
      <c r="G146" s="73"/>
      <c r="H146" s="74"/>
      <c r="I146" s="73"/>
    </row>
    <row r="147" spans="1:9" x14ac:dyDescent="0.3">
      <c r="A147" s="27"/>
      <c r="B147" s="76"/>
      <c r="C147" s="27"/>
      <c r="D147" s="70"/>
      <c r="E147" s="71"/>
      <c r="F147" s="70"/>
      <c r="G147" s="73"/>
      <c r="H147" s="74"/>
      <c r="I147" s="73"/>
    </row>
    <row r="148" spans="1:9" x14ac:dyDescent="0.3">
      <c r="A148" s="27"/>
      <c r="B148" s="76"/>
      <c r="C148" s="27"/>
      <c r="D148" s="70"/>
      <c r="E148" s="71"/>
      <c r="F148" s="70"/>
      <c r="G148" s="73"/>
      <c r="H148" s="74"/>
      <c r="I148" s="73"/>
    </row>
    <row r="149" spans="1:9" x14ac:dyDescent="0.3">
      <c r="A149" s="27"/>
      <c r="B149" s="76"/>
      <c r="C149" s="27"/>
      <c r="D149" s="70"/>
      <c r="E149" s="71"/>
      <c r="F149" s="70"/>
      <c r="G149" s="73"/>
      <c r="H149" s="74"/>
      <c r="I149" s="73"/>
    </row>
    <row r="150" spans="1:9" x14ac:dyDescent="0.3">
      <c r="A150" s="27"/>
      <c r="B150" s="76"/>
      <c r="C150" s="27"/>
      <c r="D150" s="70"/>
      <c r="E150" s="71"/>
      <c r="F150" s="70"/>
      <c r="G150" s="73"/>
      <c r="H150" s="74"/>
      <c r="I150" s="73"/>
    </row>
    <row r="151" spans="1:9" x14ac:dyDescent="0.3">
      <c r="A151" s="27"/>
      <c r="B151" s="76"/>
      <c r="C151" s="27"/>
      <c r="D151" s="70"/>
      <c r="E151" s="71"/>
      <c r="F151" s="70"/>
      <c r="G151" s="73"/>
      <c r="H151" s="74"/>
      <c r="I151" s="73"/>
    </row>
    <row r="152" spans="1:9" x14ac:dyDescent="0.3">
      <c r="A152" s="27"/>
      <c r="B152" s="76"/>
      <c r="C152" s="27"/>
      <c r="D152" s="70"/>
      <c r="E152" s="71"/>
      <c r="F152" s="70"/>
      <c r="G152" s="73"/>
      <c r="H152" s="74"/>
      <c r="I152" s="73"/>
    </row>
    <row r="153" spans="1:9" x14ac:dyDescent="0.3">
      <c r="A153" s="27"/>
      <c r="B153" s="76"/>
      <c r="C153" s="27"/>
      <c r="D153" s="70"/>
      <c r="E153" s="71"/>
      <c r="F153" s="70"/>
      <c r="G153" s="73"/>
      <c r="H153" s="74"/>
      <c r="I153" s="73"/>
    </row>
    <row r="154" spans="1:9" x14ac:dyDescent="0.3">
      <c r="A154" s="27"/>
      <c r="B154" s="76"/>
      <c r="C154" s="27"/>
      <c r="D154" s="70"/>
      <c r="E154" s="71"/>
      <c r="F154" s="70"/>
      <c r="G154" s="73"/>
      <c r="H154" s="74"/>
      <c r="I154" s="73"/>
    </row>
    <row r="155" spans="1:9" x14ac:dyDescent="0.3">
      <c r="A155" s="27"/>
      <c r="B155" s="76"/>
      <c r="C155" s="27"/>
      <c r="D155" s="70"/>
      <c r="E155" s="71"/>
      <c r="F155" s="70"/>
      <c r="G155" s="73"/>
      <c r="H155" s="74"/>
      <c r="I155" s="73"/>
    </row>
    <row r="156" spans="1:9" x14ac:dyDescent="0.3">
      <c r="A156" s="27"/>
      <c r="B156" s="76"/>
      <c r="C156" s="27"/>
      <c r="D156" s="70"/>
      <c r="E156" s="71"/>
      <c r="F156" s="70"/>
      <c r="G156" s="73"/>
      <c r="H156" s="74"/>
      <c r="I156" s="73"/>
    </row>
    <row r="157" spans="1:9" x14ac:dyDescent="0.3">
      <c r="A157" s="27"/>
      <c r="B157" s="76"/>
      <c r="C157" s="27"/>
      <c r="D157" s="70"/>
      <c r="E157" s="71"/>
      <c r="F157" s="70"/>
      <c r="G157" s="73"/>
      <c r="H157" s="74"/>
      <c r="I157" s="73"/>
    </row>
    <row r="158" spans="1:9" x14ac:dyDescent="0.3">
      <c r="A158" s="27"/>
      <c r="B158" s="76"/>
      <c r="C158" s="27"/>
      <c r="D158" s="70"/>
      <c r="E158" s="71"/>
      <c r="F158" s="70"/>
      <c r="G158" s="73"/>
      <c r="H158" s="74"/>
      <c r="I158" s="73"/>
    </row>
    <row r="159" spans="1:9" x14ac:dyDescent="0.3">
      <c r="A159" s="27"/>
      <c r="B159" s="76"/>
      <c r="C159" s="27"/>
      <c r="D159" s="70"/>
      <c r="E159" s="71"/>
      <c r="F159" s="70"/>
      <c r="G159" s="73"/>
      <c r="H159" s="74"/>
      <c r="I159" s="73"/>
    </row>
    <row r="160" spans="1:9" x14ac:dyDescent="0.3">
      <c r="A160" s="27"/>
      <c r="B160" s="76"/>
      <c r="C160" s="27"/>
      <c r="D160" s="70"/>
      <c r="E160" s="71"/>
      <c r="F160" s="70"/>
      <c r="G160" s="73"/>
      <c r="H160" s="74"/>
      <c r="I160" s="73"/>
    </row>
    <row r="161" spans="1:9" x14ac:dyDescent="0.3">
      <c r="A161" s="27"/>
      <c r="B161" s="76"/>
      <c r="C161" s="27"/>
      <c r="D161" s="70"/>
      <c r="E161" s="71"/>
      <c r="F161" s="70"/>
      <c r="G161" s="73"/>
      <c r="H161" s="74"/>
      <c r="I161" s="73"/>
    </row>
    <row r="162" spans="1:9" x14ac:dyDescent="0.3">
      <c r="A162" s="27"/>
      <c r="B162" s="76"/>
      <c r="C162" s="27"/>
      <c r="D162" s="70"/>
      <c r="E162" s="71"/>
      <c r="F162" s="70"/>
      <c r="G162" s="73"/>
      <c r="H162" s="74"/>
      <c r="I162" s="73"/>
    </row>
    <row r="163" spans="1:9" x14ac:dyDescent="0.3">
      <c r="A163" s="27"/>
      <c r="B163" s="76"/>
      <c r="C163" s="27"/>
      <c r="D163" s="70"/>
      <c r="E163" s="71"/>
      <c r="F163" s="70"/>
      <c r="G163" s="73"/>
      <c r="H163" s="74"/>
      <c r="I163" s="73"/>
    </row>
    <row r="164" spans="1:9" x14ac:dyDescent="0.3">
      <c r="A164" s="27"/>
      <c r="B164" s="76"/>
      <c r="C164" s="27"/>
      <c r="D164" s="70"/>
      <c r="E164" s="71"/>
      <c r="F164" s="70"/>
      <c r="G164" s="73"/>
      <c r="H164" s="74"/>
      <c r="I164" s="73"/>
    </row>
    <row r="165" spans="1:9" x14ac:dyDescent="0.3">
      <c r="A165" s="27"/>
      <c r="B165" s="76"/>
      <c r="C165" s="27"/>
      <c r="D165" s="70"/>
      <c r="E165" s="71"/>
      <c r="F165" s="70"/>
      <c r="G165" s="73"/>
      <c r="H165" s="74"/>
      <c r="I165" s="73"/>
    </row>
    <row r="166" spans="1:9" x14ac:dyDescent="0.3">
      <c r="A166" s="27"/>
      <c r="B166" s="76"/>
      <c r="C166" s="27"/>
      <c r="D166" s="70"/>
      <c r="E166" s="71"/>
      <c r="F166" s="70"/>
      <c r="G166" s="73"/>
      <c r="H166" s="74"/>
      <c r="I166" s="73"/>
    </row>
    <row r="167" spans="1:9" x14ac:dyDescent="0.3">
      <c r="A167" s="27"/>
      <c r="B167" s="76"/>
      <c r="C167" s="27"/>
      <c r="D167" s="70"/>
      <c r="E167" s="71"/>
      <c r="F167" s="70"/>
      <c r="G167" s="73"/>
      <c r="H167" s="74"/>
      <c r="I167" s="73"/>
    </row>
    <row r="168" spans="1:9" x14ac:dyDescent="0.3">
      <c r="A168" s="27"/>
      <c r="B168" s="76"/>
      <c r="C168" s="27"/>
      <c r="D168" s="70"/>
      <c r="E168" s="71"/>
      <c r="F168" s="70"/>
      <c r="G168" s="73"/>
      <c r="H168" s="74"/>
      <c r="I168" s="73"/>
    </row>
    <row r="169" spans="1:9" x14ac:dyDescent="0.3">
      <c r="A169" s="27"/>
      <c r="B169" s="76"/>
      <c r="C169" s="27"/>
      <c r="D169" s="70"/>
      <c r="E169" s="71"/>
      <c r="F169" s="70"/>
      <c r="G169" s="73"/>
      <c r="H169" s="74"/>
      <c r="I169" s="73"/>
    </row>
    <row r="170" spans="1:9" x14ac:dyDescent="0.3">
      <c r="A170" s="27"/>
      <c r="B170" s="76"/>
      <c r="C170" s="27"/>
      <c r="D170" s="70"/>
      <c r="E170" s="71"/>
      <c r="F170" s="70"/>
      <c r="G170" s="73"/>
      <c r="H170" s="74"/>
      <c r="I170" s="73"/>
    </row>
    <row r="171" spans="1:9" x14ac:dyDescent="0.3">
      <c r="A171" s="27"/>
      <c r="B171" s="76"/>
      <c r="C171" s="27"/>
      <c r="D171" s="70"/>
      <c r="E171" s="71"/>
      <c r="F171" s="70"/>
      <c r="G171" s="73"/>
      <c r="H171" s="74"/>
      <c r="I171" s="73"/>
    </row>
    <row r="172" spans="1:9" x14ac:dyDescent="0.3">
      <c r="A172" s="27"/>
      <c r="B172" s="76"/>
      <c r="C172" s="27"/>
      <c r="D172" s="70"/>
      <c r="E172" s="71"/>
      <c r="F172" s="70"/>
      <c r="G172" s="73"/>
      <c r="H172" s="74"/>
      <c r="I172" s="73"/>
    </row>
    <row r="173" spans="1:9" x14ac:dyDescent="0.3">
      <c r="A173" s="27"/>
      <c r="B173" s="76"/>
      <c r="C173" s="27"/>
      <c r="D173" s="70"/>
      <c r="E173" s="71"/>
      <c r="F173" s="70"/>
      <c r="G173" s="73"/>
      <c r="H173" s="74"/>
      <c r="I173" s="73"/>
    </row>
    <row r="174" spans="1:9" x14ac:dyDescent="0.3">
      <c r="A174" s="27"/>
      <c r="B174" s="76"/>
      <c r="C174" s="27"/>
      <c r="D174" s="70"/>
      <c r="E174" s="71"/>
      <c r="F174" s="70"/>
      <c r="G174" s="73"/>
      <c r="H174" s="74"/>
      <c r="I174" s="73"/>
    </row>
    <row r="175" spans="1:9" x14ac:dyDescent="0.3">
      <c r="A175" s="27"/>
      <c r="B175" s="76"/>
      <c r="C175" s="27"/>
      <c r="D175" s="70"/>
      <c r="E175" s="71"/>
      <c r="F175" s="70"/>
      <c r="G175" s="73"/>
      <c r="H175" s="74"/>
      <c r="I175" s="73"/>
    </row>
    <row r="176" spans="1:9" x14ac:dyDescent="0.3">
      <c r="A176" s="27"/>
      <c r="B176" s="76"/>
      <c r="C176" s="27"/>
      <c r="D176" s="70"/>
      <c r="E176" s="71"/>
      <c r="F176" s="70"/>
      <c r="G176" s="73"/>
      <c r="H176" s="74"/>
      <c r="I176" s="73"/>
    </row>
    <row r="177" spans="1:9" x14ac:dyDescent="0.3">
      <c r="A177" s="27"/>
      <c r="B177" s="76"/>
      <c r="C177" s="27"/>
      <c r="D177" s="70"/>
      <c r="E177" s="71"/>
      <c r="F177" s="70"/>
      <c r="G177" s="73"/>
      <c r="H177" s="74"/>
      <c r="I177" s="73"/>
    </row>
    <row r="178" spans="1:9" x14ac:dyDescent="0.3">
      <c r="A178" s="27"/>
      <c r="B178" s="76"/>
      <c r="C178" s="27"/>
      <c r="D178" s="70"/>
      <c r="E178" s="71"/>
      <c r="F178" s="70"/>
      <c r="G178" s="73"/>
      <c r="H178" s="74"/>
      <c r="I178" s="73"/>
    </row>
    <row r="179" spans="1:9" x14ac:dyDescent="0.3">
      <c r="A179" s="27"/>
      <c r="B179" s="76"/>
      <c r="C179" s="27"/>
      <c r="D179" s="70"/>
      <c r="E179" s="71"/>
      <c r="F179" s="70"/>
      <c r="G179" s="73"/>
      <c r="H179" s="74"/>
      <c r="I179" s="73"/>
    </row>
    <row r="180" spans="1:9" x14ac:dyDescent="0.3">
      <c r="A180" s="27"/>
      <c r="B180" s="76"/>
      <c r="C180" s="27"/>
      <c r="D180" s="70"/>
      <c r="E180" s="71"/>
      <c r="F180" s="70"/>
      <c r="G180" s="73"/>
      <c r="H180" s="74"/>
      <c r="I180" s="73"/>
    </row>
    <row r="181" spans="1:9" x14ac:dyDescent="0.3">
      <c r="A181" s="27"/>
      <c r="B181" s="76"/>
      <c r="C181" s="27"/>
      <c r="D181" s="70"/>
      <c r="E181" s="71"/>
      <c r="F181" s="70"/>
      <c r="G181" s="73"/>
      <c r="H181" s="74"/>
      <c r="I181" s="73"/>
    </row>
    <row r="182" spans="1:9" x14ac:dyDescent="0.3">
      <c r="A182" s="27"/>
      <c r="B182" s="76"/>
      <c r="C182" s="27"/>
      <c r="D182" s="70"/>
      <c r="E182" s="71"/>
      <c r="F182" s="70"/>
      <c r="G182" s="73"/>
      <c r="H182" s="74"/>
      <c r="I182" s="73"/>
    </row>
    <row r="183" spans="1:9" x14ac:dyDescent="0.3">
      <c r="A183" s="27"/>
      <c r="B183" s="76"/>
      <c r="C183" s="27"/>
      <c r="D183" s="70"/>
      <c r="E183" s="71"/>
      <c r="F183" s="70"/>
      <c r="G183" s="73"/>
      <c r="H183" s="74"/>
      <c r="I183" s="73"/>
    </row>
    <row r="184" spans="1:9" x14ac:dyDescent="0.3">
      <c r="A184" s="27"/>
      <c r="B184" s="76"/>
      <c r="C184" s="27"/>
      <c r="D184" s="70"/>
      <c r="E184" s="71"/>
      <c r="F184" s="70"/>
      <c r="G184" s="73"/>
      <c r="H184" s="74"/>
      <c r="I184" s="73"/>
    </row>
    <row r="185" spans="1:9" x14ac:dyDescent="0.3">
      <c r="A185" s="27"/>
      <c r="B185" s="76"/>
      <c r="C185" s="27"/>
      <c r="D185" s="70"/>
      <c r="E185" s="71"/>
      <c r="F185" s="70"/>
      <c r="G185" s="73"/>
      <c r="H185" s="74"/>
      <c r="I185" s="73"/>
    </row>
    <row r="186" spans="1:9" x14ac:dyDescent="0.3">
      <c r="A186" s="27"/>
      <c r="B186" s="76"/>
      <c r="C186" s="27"/>
      <c r="D186" s="70"/>
      <c r="E186" s="71"/>
      <c r="F186" s="70"/>
      <c r="G186" s="73"/>
      <c r="H186" s="74"/>
      <c r="I186" s="73"/>
    </row>
    <row r="187" spans="1:9" x14ac:dyDescent="0.3">
      <c r="A187" s="27"/>
      <c r="B187" s="76"/>
      <c r="C187" s="27"/>
      <c r="D187" s="70"/>
      <c r="E187" s="71"/>
      <c r="F187" s="70"/>
      <c r="G187" s="73"/>
      <c r="H187" s="74"/>
      <c r="I187" s="73"/>
    </row>
    <row r="188" spans="1:9" x14ac:dyDescent="0.3">
      <c r="A188" s="27"/>
      <c r="B188" s="76"/>
      <c r="C188" s="27"/>
      <c r="D188" s="70"/>
      <c r="E188" s="71"/>
      <c r="F188" s="70"/>
      <c r="G188" s="73"/>
      <c r="H188" s="74"/>
      <c r="I188" s="73"/>
    </row>
    <row r="189" spans="1:9" x14ac:dyDescent="0.3">
      <c r="A189" s="27"/>
      <c r="B189" s="76"/>
      <c r="C189" s="27"/>
      <c r="D189" s="70"/>
      <c r="E189" s="71"/>
      <c r="F189" s="70"/>
      <c r="G189" s="73"/>
      <c r="H189" s="74"/>
      <c r="I189" s="73"/>
    </row>
    <row r="190" spans="1:9" x14ac:dyDescent="0.3">
      <c r="A190" s="27"/>
      <c r="B190" s="76"/>
      <c r="C190" s="27"/>
      <c r="D190" s="70"/>
      <c r="E190" s="71"/>
      <c r="F190" s="70"/>
      <c r="G190" s="73"/>
      <c r="H190" s="74"/>
      <c r="I190" s="73"/>
    </row>
    <row r="191" spans="1:9" x14ac:dyDescent="0.3">
      <c r="A191" s="27"/>
      <c r="B191" s="76"/>
      <c r="C191" s="27"/>
      <c r="D191" s="70"/>
      <c r="E191" s="71"/>
      <c r="F191" s="70"/>
      <c r="G191" s="73"/>
      <c r="H191" s="74"/>
      <c r="I191" s="73"/>
    </row>
    <row r="192" spans="1:9" x14ac:dyDescent="0.3">
      <c r="A192" s="27"/>
      <c r="B192" s="76"/>
      <c r="C192" s="27"/>
      <c r="D192" s="70"/>
      <c r="E192" s="71"/>
      <c r="F192" s="70"/>
      <c r="G192" s="73"/>
      <c r="H192" s="74"/>
      <c r="I192" s="73"/>
    </row>
    <row r="193" spans="1:9" x14ac:dyDescent="0.3">
      <c r="A193" s="27"/>
      <c r="B193" s="76"/>
      <c r="C193" s="27"/>
      <c r="D193" s="70"/>
      <c r="E193" s="71"/>
      <c r="F193" s="70"/>
      <c r="G193" s="73"/>
      <c r="H193" s="74"/>
      <c r="I193" s="73"/>
    </row>
    <row r="194" spans="1:9" x14ac:dyDescent="0.3">
      <c r="A194" s="27"/>
      <c r="B194" s="76"/>
      <c r="C194" s="27"/>
      <c r="D194" s="70"/>
      <c r="E194" s="71"/>
      <c r="F194" s="70"/>
      <c r="G194" s="73"/>
      <c r="H194" s="74"/>
      <c r="I194" s="73"/>
    </row>
    <row r="195" spans="1:9" x14ac:dyDescent="0.3">
      <c r="A195" s="27"/>
      <c r="B195" s="76"/>
      <c r="C195" s="27"/>
      <c r="D195" s="70"/>
      <c r="E195" s="71"/>
      <c r="F195" s="70"/>
      <c r="G195" s="73"/>
      <c r="H195" s="74"/>
      <c r="I195" s="73"/>
    </row>
    <row r="196" spans="1:9" x14ac:dyDescent="0.3">
      <c r="A196" s="27"/>
      <c r="B196" s="76"/>
      <c r="C196" s="27"/>
      <c r="D196" s="70"/>
      <c r="E196" s="71"/>
      <c r="F196" s="70"/>
      <c r="G196" s="73"/>
      <c r="H196" s="74"/>
      <c r="I196" s="73"/>
    </row>
    <row r="197" spans="1:9" x14ac:dyDescent="0.3">
      <c r="A197" s="27"/>
      <c r="B197" s="76"/>
      <c r="C197" s="27"/>
      <c r="D197" s="70"/>
      <c r="E197" s="71"/>
      <c r="F197" s="70"/>
      <c r="G197" s="73"/>
      <c r="H197" s="74"/>
      <c r="I197" s="73"/>
    </row>
    <row r="198" spans="1:9" x14ac:dyDescent="0.3">
      <c r="A198" s="27"/>
      <c r="B198" s="76"/>
      <c r="C198" s="27"/>
      <c r="D198" s="70"/>
      <c r="E198" s="71"/>
      <c r="F198" s="70"/>
      <c r="G198" s="73"/>
      <c r="H198" s="74"/>
      <c r="I198" s="73"/>
    </row>
    <row r="199" spans="1:9" x14ac:dyDescent="0.3">
      <c r="A199" s="27"/>
      <c r="B199" s="76"/>
      <c r="C199" s="27"/>
      <c r="D199" s="70"/>
      <c r="E199" s="71"/>
      <c r="F199" s="70"/>
      <c r="G199" s="73"/>
      <c r="H199" s="74"/>
      <c r="I199" s="73"/>
    </row>
    <row r="200" spans="1:9" x14ac:dyDescent="0.3">
      <c r="A200" s="27"/>
      <c r="B200" s="76"/>
      <c r="C200" s="27"/>
      <c r="D200" s="70"/>
      <c r="E200" s="71"/>
      <c r="F200" s="70"/>
      <c r="G200" s="73"/>
      <c r="H200" s="74"/>
      <c r="I200" s="73"/>
    </row>
    <row r="201" spans="1:9" x14ac:dyDescent="0.3">
      <c r="A201" s="27"/>
      <c r="B201" s="76"/>
      <c r="C201" s="27"/>
      <c r="D201" s="70"/>
      <c r="E201" s="71"/>
      <c r="F201" s="70"/>
      <c r="G201" s="73"/>
      <c r="H201" s="74"/>
      <c r="I201" s="73"/>
    </row>
    <row r="202" spans="1:9" x14ac:dyDescent="0.3">
      <c r="A202" s="27"/>
      <c r="B202" s="76"/>
      <c r="C202" s="27"/>
      <c r="D202" s="70"/>
      <c r="E202" s="71"/>
      <c r="F202" s="70"/>
      <c r="G202" s="73"/>
      <c r="H202" s="74"/>
      <c r="I202" s="73"/>
    </row>
    <row r="203" spans="1:9" x14ac:dyDescent="0.3">
      <c r="A203" s="27"/>
      <c r="B203" s="76"/>
      <c r="C203" s="27"/>
      <c r="D203" s="70"/>
      <c r="E203" s="71"/>
      <c r="F203" s="70"/>
      <c r="G203" s="73"/>
      <c r="H203" s="74"/>
      <c r="I203" s="73"/>
    </row>
    <row r="204" spans="1:9" x14ac:dyDescent="0.3">
      <c r="A204" s="27"/>
      <c r="B204" s="76"/>
      <c r="C204" s="27"/>
      <c r="D204" s="70"/>
      <c r="E204" s="71"/>
      <c r="F204" s="70"/>
      <c r="G204" s="73"/>
      <c r="H204" s="74"/>
      <c r="I204" s="73"/>
    </row>
    <row r="205" spans="1:9" x14ac:dyDescent="0.3">
      <c r="A205" s="27"/>
      <c r="B205" s="76"/>
      <c r="C205" s="27"/>
      <c r="D205" s="70"/>
      <c r="E205" s="71"/>
      <c r="F205" s="70"/>
      <c r="G205" s="73"/>
      <c r="H205" s="74"/>
      <c r="I205" s="73"/>
    </row>
    <row r="206" spans="1:9" x14ac:dyDescent="0.3">
      <c r="A206" s="27"/>
      <c r="B206" s="76"/>
      <c r="C206" s="27"/>
      <c r="D206" s="70"/>
      <c r="E206" s="71"/>
      <c r="F206" s="70"/>
      <c r="G206" s="73"/>
      <c r="H206" s="74"/>
      <c r="I206" s="73"/>
    </row>
    <row r="207" spans="1:9" x14ac:dyDescent="0.3">
      <c r="A207" s="27"/>
      <c r="B207" s="76"/>
      <c r="C207" s="27"/>
      <c r="D207" s="70"/>
      <c r="E207" s="71"/>
      <c r="F207" s="70"/>
      <c r="G207" s="73"/>
      <c r="H207" s="74"/>
      <c r="I207" s="73"/>
    </row>
    <row r="208" spans="1:9" x14ac:dyDescent="0.3">
      <c r="A208" s="27"/>
      <c r="B208" s="76"/>
      <c r="C208" s="27"/>
      <c r="D208" s="70"/>
      <c r="E208" s="71"/>
      <c r="F208" s="70"/>
      <c r="G208" s="73"/>
      <c r="H208" s="74"/>
      <c r="I208" s="73"/>
    </row>
    <row r="209" spans="1:9" x14ac:dyDescent="0.3">
      <c r="A209" s="27"/>
      <c r="B209" s="76"/>
      <c r="C209" s="27"/>
      <c r="D209" s="70"/>
      <c r="E209" s="71"/>
      <c r="F209" s="70"/>
      <c r="G209" s="73"/>
      <c r="H209" s="74"/>
      <c r="I209" s="73"/>
    </row>
    <row r="210" spans="1:9" x14ac:dyDescent="0.3">
      <c r="A210" s="27"/>
      <c r="B210" s="76"/>
      <c r="C210" s="27"/>
      <c r="D210" s="70"/>
      <c r="E210" s="71"/>
      <c r="F210" s="70"/>
      <c r="G210" s="73"/>
      <c r="H210" s="74"/>
      <c r="I210" s="73"/>
    </row>
    <row r="211" spans="1:9" x14ac:dyDescent="0.3">
      <c r="A211" s="27"/>
      <c r="B211" s="76"/>
      <c r="C211" s="27"/>
      <c r="D211" s="70"/>
      <c r="E211" s="71"/>
      <c r="F211" s="70"/>
      <c r="G211" s="73"/>
      <c r="H211" s="74"/>
      <c r="I211" s="73"/>
    </row>
    <row r="212" spans="1:9" x14ac:dyDescent="0.3">
      <c r="A212" s="27"/>
      <c r="B212" s="76"/>
      <c r="C212" s="27"/>
      <c r="D212" s="70"/>
      <c r="E212" s="71"/>
      <c r="F212" s="70"/>
      <c r="G212" s="73"/>
      <c r="H212" s="74"/>
      <c r="I212" s="73"/>
    </row>
    <row r="213" spans="1:9" x14ac:dyDescent="0.3">
      <c r="A213" s="27"/>
      <c r="B213" s="76"/>
      <c r="C213" s="27"/>
      <c r="D213" s="70"/>
      <c r="E213" s="71"/>
      <c r="F213" s="70"/>
      <c r="G213" s="73"/>
      <c r="H213" s="74"/>
      <c r="I213" s="73"/>
    </row>
    <row r="214" spans="1:9" x14ac:dyDescent="0.3">
      <c r="A214" s="27"/>
      <c r="B214" s="76"/>
      <c r="C214" s="27"/>
      <c r="D214" s="70"/>
      <c r="E214" s="71"/>
      <c r="F214" s="70"/>
      <c r="G214" s="73"/>
      <c r="H214" s="74"/>
      <c r="I214" s="73"/>
    </row>
    <row r="215" spans="1:9" x14ac:dyDescent="0.3">
      <c r="A215" s="27"/>
      <c r="B215" s="76"/>
      <c r="C215" s="27"/>
      <c r="D215" s="70"/>
      <c r="E215" s="71"/>
      <c r="F215" s="70"/>
      <c r="G215" s="73"/>
      <c r="H215" s="74"/>
      <c r="I215" s="73"/>
    </row>
    <row r="216" spans="1:9" x14ac:dyDescent="0.3">
      <c r="A216" s="27"/>
      <c r="B216" s="76"/>
      <c r="C216" s="27"/>
      <c r="D216" s="70"/>
      <c r="E216" s="71"/>
      <c r="F216" s="70"/>
      <c r="G216" s="73"/>
      <c r="H216" s="74"/>
      <c r="I216" s="73"/>
    </row>
    <row r="217" spans="1:9" x14ac:dyDescent="0.3">
      <c r="A217" s="27"/>
      <c r="B217" s="76"/>
      <c r="C217" s="27"/>
      <c r="D217" s="70"/>
      <c r="E217" s="71"/>
      <c r="F217" s="70"/>
      <c r="G217" s="73"/>
      <c r="H217" s="74"/>
      <c r="I217" s="73"/>
    </row>
    <row r="218" spans="1:9" x14ac:dyDescent="0.3">
      <c r="A218" s="27"/>
      <c r="B218" s="76"/>
      <c r="C218" s="27"/>
      <c r="D218" s="70"/>
      <c r="E218" s="71"/>
      <c r="F218" s="70"/>
      <c r="G218" s="73"/>
      <c r="H218" s="74"/>
      <c r="I218" s="73"/>
    </row>
    <row r="219" spans="1:9" x14ac:dyDescent="0.3">
      <c r="A219" s="27"/>
      <c r="B219" s="76"/>
      <c r="C219" s="27"/>
      <c r="D219" s="70"/>
      <c r="E219" s="71"/>
      <c r="F219" s="70"/>
      <c r="G219" s="73"/>
      <c r="H219" s="74"/>
      <c r="I219" s="73"/>
    </row>
    <row r="220" spans="1:9" x14ac:dyDescent="0.3">
      <c r="A220" s="27"/>
      <c r="B220" s="76"/>
      <c r="C220" s="27"/>
      <c r="D220" s="70"/>
      <c r="E220" s="71"/>
      <c r="F220" s="70"/>
      <c r="G220" s="73"/>
      <c r="H220" s="74"/>
      <c r="I220" s="73"/>
    </row>
    <row r="221" spans="1:9" x14ac:dyDescent="0.3">
      <c r="A221" s="27"/>
      <c r="B221" s="76"/>
      <c r="C221" s="27"/>
      <c r="D221" s="70"/>
      <c r="E221" s="71"/>
      <c r="F221" s="70"/>
      <c r="G221" s="73"/>
      <c r="H221" s="74"/>
      <c r="I221" s="73"/>
    </row>
    <row r="222" spans="1:9" x14ac:dyDescent="0.3">
      <c r="A222" s="27"/>
      <c r="B222" s="76"/>
      <c r="C222" s="27"/>
      <c r="D222" s="70"/>
      <c r="E222" s="71"/>
      <c r="F222" s="70"/>
      <c r="G222" s="73"/>
      <c r="H222" s="74"/>
      <c r="I222" s="73"/>
    </row>
    <row r="223" spans="1:9" x14ac:dyDescent="0.3">
      <c r="A223" s="27"/>
      <c r="B223" s="76"/>
      <c r="C223" s="27"/>
      <c r="D223" s="70"/>
      <c r="E223" s="71"/>
      <c r="F223" s="70"/>
      <c r="G223" s="73"/>
      <c r="H223" s="74"/>
      <c r="I223" s="73"/>
    </row>
    <row r="224" spans="1:9" x14ac:dyDescent="0.3">
      <c r="A224" s="27"/>
      <c r="B224" s="76"/>
      <c r="C224" s="27"/>
      <c r="D224" s="70"/>
      <c r="E224" s="71"/>
      <c r="F224" s="70"/>
      <c r="G224" s="73"/>
      <c r="H224" s="74"/>
      <c r="I224" s="73"/>
    </row>
    <row r="225" spans="1:9" x14ac:dyDescent="0.3">
      <c r="A225" s="27"/>
      <c r="B225" s="76"/>
      <c r="C225" s="27"/>
      <c r="D225" s="70"/>
      <c r="E225" s="71"/>
      <c r="F225" s="70"/>
      <c r="G225" s="73"/>
      <c r="H225" s="74"/>
      <c r="I225" s="73"/>
    </row>
    <row r="226" spans="1:9" x14ac:dyDescent="0.3">
      <c r="A226" s="27"/>
      <c r="B226" s="76"/>
      <c r="C226" s="27"/>
      <c r="D226" s="70"/>
      <c r="E226" s="71"/>
      <c r="F226" s="70"/>
      <c r="G226" s="73"/>
      <c r="H226" s="74"/>
      <c r="I226" s="73"/>
    </row>
    <row r="227" spans="1:9" x14ac:dyDescent="0.3">
      <c r="A227" s="27"/>
      <c r="B227" s="76"/>
      <c r="C227" s="27"/>
      <c r="D227" s="70"/>
      <c r="E227" s="71"/>
      <c r="F227" s="70"/>
      <c r="G227" s="73"/>
      <c r="H227" s="74"/>
      <c r="I227" s="73"/>
    </row>
    <row r="228" spans="1:9" x14ac:dyDescent="0.3">
      <c r="A228" s="27"/>
      <c r="B228" s="76"/>
      <c r="C228" s="27"/>
      <c r="D228" s="70"/>
      <c r="E228" s="71"/>
      <c r="F228" s="70"/>
      <c r="G228" s="73"/>
      <c r="H228" s="74"/>
      <c r="I228" s="73"/>
    </row>
    <row r="229" spans="1:9" x14ac:dyDescent="0.3">
      <c r="A229" s="27"/>
      <c r="B229" s="76"/>
      <c r="C229" s="27"/>
      <c r="D229" s="70"/>
      <c r="E229" s="71"/>
      <c r="F229" s="70"/>
      <c r="G229" s="73"/>
      <c r="H229" s="74"/>
      <c r="I229" s="73"/>
    </row>
    <row r="230" spans="1:9" x14ac:dyDescent="0.3">
      <c r="A230" s="27"/>
      <c r="B230" s="76"/>
      <c r="C230" s="27"/>
      <c r="D230" s="70"/>
      <c r="E230" s="71"/>
      <c r="F230" s="70"/>
      <c r="G230" s="73"/>
      <c r="H230" s="74"/>
      <c r="I230" s="73"/>
    </row>
    <row r="231" spans="1:9" x14ac:dyDescent="0.3">
      <c r="A231" s="27"/>
      <c r="B231" s="76"/>
      <c r="C231" s="27"/>
      <c r="D231" s="70"/>
      <c r="E231" s="71"/>
      <c r="F231" s="70"/>
      <c r="G231" s="73"/>
      <c r="H231" s="74"/>
      <c r="I231" s="73"/>
    </row>
    <row r="232" spans="1:9" x14ac:dyDescent="0.3">
      <c r="A232" s="27"/>
      <c r="B232" s="76"/>
      <c r="C232" s="27"/>
      <c r="D232" s="70"/>
      <c r="E232" s="71"/>
      <c r="F232" s="70"/>
      <c r="G232" s="73"/>
      <c r="H232" s="74"/>
      <c r="I232" s="73"/>
    </row>
    <row r="233" spans="1:9" x14ac:dyDescent="0.3">
      <c r="A233" s="27"/>
      <c r="B233" s="76"/>
      <c r="C233" s="27"/>
      <c r="D233" s="70"/>
      <c r="E233" s="71"/>
      <c r="F233" s="70"/>
      <c r="G233" s="73"/>
      <c r="H233" s="74"/>
      <c r="I233" s="73"/>
    </row>
    <row r="234" spans="1:9" x14ac:dyDescent="0.3">
      <c r="A234" s="27"/>
      <c r="B234" s="76"/>
      <c r="C234" s="27"/>
      <c r="D234" s="70"/>
      <c r="E234" s="71"/>
      <c r="F234" s="70"/>
      <c r="G234" s="73"/>
      <c r="H234" s="74"/>
      <c r="I234" s="73"/>
    </row>
    <row r="235" spans="1:9" x14ac:dyDescent="0.3">
      <c r="A235" s="27"/>
      <c r="B235" s="76"/>
      <c r="C235" s="27"/>
      <c r="D235" s="70"/>
      <c r="E235" s="71"/>
      <c r="F235" s="70"/>
      <c r="G235" s="73"/>
      <c r="H235" s="74"/>
      <c r="I235" s="73"/>
    </row>
    <row r="236" spans="1:9" x14ac:dyDescent="0.3">
      <c r="A236" s="27"/>
      <c r="B236" s="76"/>
      <c r="C236" s="27"/>
      <c r="D236" s="70"/>
      <c r="E236" s="71"/>
      <c r="F236" s="70"/>
      <c r="G236" s="73"/>
      <c r="H236" s="74"/>
      <c r="I236" s="73"/>
    </row>
    <row r="237" spans="1:9" x14ac:dyDescent="0.3">
      <c r="A237" s="27"/>
      <c r="B237" s="76"/>
      <c r="C237" s="27"/>
      <c r="D237" s="70"/>
      <c r="E237" s="71"/>
      <c r="F237" s="70"/>
      <c r="G237" s="73"/>
      <c r="H237" s="74"/>
      <c r="I237" s="73"/>
    </row>
    <row r="238" spans="1:9" x14ac:dyDescent="0.3">
      <c r="A238" s="27"/>
      <c r="B238" s="76"/>
      <c r="C238" s="27"/>
      <c r="D238" s="70"/>
      <c r="E238" s="71"/>
      <c r="F238" s="70"/>
      <c r="G238" s="73"/>
      <c r="H238" s="74"/>
      <c r="I238" s="73"/>
    </row>
    <row r="239" spans="1:9" x14ac:dyDescent="0.3">
      <c r="A239" s="27"/>
      <c r="B239" s="76"/>
      <c r="C239" s="27"/>
      <c r="D239" s="70"/>
      <c r="E239" s="71"/>
      <c r="F239" s="70"/>
      <c r="G239" s="73"/>
      <c r="H239" s="74"/>
      <c r="I239" s="73"/>
    </row>
    <row r="240" spans="1:9" x14ac:dyDescent="0.3">
      <c r="A240" s="27"/>
      <c r="B240" s="76"/>
      <c r="C240" s="27"/>
      <c r="D240" s="70"/>
      <c r="E240" s="71"/>
      <c r="F240" s="70"/>
      <c r="G240" s="73"/>
      <c r="H240" s="74"/>
      <c r="I240" s="73"/>
    </row>
    <row r="241" spans="1:9" x14ac:dyDescent="0.3">
      <c r="A241" s="27"/>
      <c r="B241" s="76"/>
      <c r="C241" s="27"/>
      <c r="D241" s="70"/>
      <c r="E241" s="71"/>
      <c r="F241" s="70"/>
      <c r="G241" s="73"/>
      <c r="H241" s="74"/>
      <c r="I241" s="73"/>
    </row>
    <row r="242" spans="1:9" x14ac:dyDescent="0.3">
      <c r="A242" s="27"/>
      <c r="B242" s="76"/>
      <c r="C242" s="27"/>
      <c r="D242" s="70"/>
      <c r="E242" s="71"/>
      <c r="F242" s="70"/>
      <c r="G242" s="73"/>
      <c r="H242" s="74"/>
      <c r="I242" s="73"/>
    </row>
    <row r="243" spans="1:9" x14ac:dyDescent="0.3">
      <c r="A243" s="27"/>
      <c r="B243" s="76"/>
      <c r="C243" s="27"/>
      <c r="D243" s="70"/>
      <c r="E243" s="71"/>
      <c r="F243" s="70"/>
      <c r="G243" s="73"/>
      <c r="H243" s="74"/>
      <c r="I243" s="73"/>
    </row>
    <row r="244" spans="1:9" x14ac:dyDescent="0.3">
      <c r="A244" s="27"/>
      <c r="B244" s="76"/>
      <c r="C244" s="27"/>
      <c r="D244" s="70"/>
      <c r="E244" s="71"/>
      <c r="F244" s="70"/>
      <c r="G244" s="73"/>
      <c r="H244" s="74"/>
      <c r="I244" s="73"/>
    </row>
    <row r="245" spans="1:9" x14ac:dyDescent="0.3">
      <c r="A245" s="27"/>
      <c r="B245" s="76"/>
      <c r="C245" s="27"/>
      <c r="D245" s="70"/>
      <c r="E245" s="71"/>
      <c r="F245" s="70"/>
      <c r="G245" s="73"/>
      <c r="H245" s="74"/>
      <c r="I245" s="73"/>
    </row>
    <row r="246" spans="1:9" x14ac:dyDescent="0.3">
      <c r="A246" s="27"/>
      <c r="B246" s="76"/>
      <c r="C246" s="27"/>
      <c r="D246" s="70"/>
      <c r="E246" s="71"/>
      <c r="F246" s="70"/>
      <c r="G246" s="73"/>
      <c r="H246" s="74"/>
      <c r="I246" s="73"/>
    </row>
    <row r="247" spans="1:9" x14ac:dyDescent="0.3">
      <c r="A247" s="27"/>
      <c r="B247" s="76"/>
      <c r="C247" s="27"/>
      <c r="D247" s="70"/>
      <c r="E247" s="71"/>
      <c r="F247" s="70"/>
      <c r="G247" s="73"/>
      <c r="H247" s="74"/>
      <c r="I247" s="73"/>
    </row>
    <row r="248" spans="1:9" x14ac:dyDescent="0.3">
      <c r="A248" s="27"/>
      <c r="B248" s="76"/>
      <c r="C248" s="27"/>
      <c r="D248" s="70"/>
      <c r="E248" s="71"/>
      <c r="F248" s="70"/>
      <c r="G248" s="73"/>
      <c r="H248" s="74"/>
      <c r="I248" s="73"/>
    </row>
    <row r="249" spans="1:9" x14ac:dyDescent="0.3">
      <c r="A249" s="27"/>
      <c r="B249" s="76"/>
      <c r="C249" s="27"/>
      <c r="D249" s="70"/>
      <c r="E249" s="71"/>
      <c r="F249" s="70"/>
      <c r="G249" s="73"/>
      <c r="H249" s="74"/>
      <c r="I249" s="73"/>
    </row>
    <row r="250" spans="1:9" x14ac:dyDescent="0.3">
      <c r="A250" s="27"/>
      <c r="B250" s="76"/>
      <c r="C250" s="27"/>
      <c r="D250" s="70"/>
      <c r="E250" s="71"/>
      <c r="F250" s="70"/>
      <c r="G250" s="73"/>
      <c r="H250" s="74"/>
      <c r="I250" s="73"/>
    </row>
    <row r="251" spans="1:9" x14ac:dyDescent="0.3">
      <c r="A251" s="27"/>
      <c r="B251" s="76"/>
      <c r="C251" s="27"/>
      <c r="D251" s="70"/>
      <c r="E251" s="71"/>
      <c r="F251" s="70"/>
      <c r="G251" s="73"/>
      <c r="H251" s="74"/>
      <c r="I251" s="73"/>
    </row>
    <row r="252" spans="1:9" x14ac:dyDescent="0.3">
      <c r="A252" s="27"/>
      <c r="B252" s="76"/>
      <c r="C252" s="27"/>
      <c r="D252" s="70"/>
      <c r="E252" s="71"/>
      <c r="F252" s="70"/>
      <c r="G252" s="73"/>
      <c r="H252" s="74"/>
      <c r="I252" s="73"/>
    </row>
    <row r="253" spans="1:9" x14ac:dyDescent="0.3">
      <c r="A253" s="27"/>
      <c r="B253" s="76"/>
      <c r="C253" s="27"/>
      <c r="D253" s="70"/>
      <c r="E253" s="71"/>
      <c r="F253" s="70"/>
      <c r="G253" s="73"/>
      <c r="H253" s="74"/>
      <c r="I253" s="73"/>
    </row>
    <row r="254" spans="1:9" x14ac:dyDescent="0.3">
      <c r="A254" s="27"/>
      <c r="B254" s="76"/>
      <c r="C254" s="27"/>
      <c r="D254" s="70"/>
      <c r="E254" s="71"/>
      <c r="F254" s="70"/>
      <c r="G254" s="73"/>
      <c r="H254" s="74"/>
      <c r="I254" s="73"/>
    </row>
    <row r="255" spans="1:9" x14ac:dyDescent="0.3">
      <c r="A255" s="27"/>
      <c r="B255" s="76"/>
      <c r="C255" s="27"/>
      <c r="D255" s="70"/>
      <c r="E255" s="71"/>
      <c r="F255" s="70"/>
      <c r="G255" s="73"/>
      <c r="H255" s="74"/>
      <c r="I255" s="73"/>
    </row>
    <row r="256" spans="1:9" x14ac:dyDescent="0.3">
      <c r="A256" s="27"/>
      <c r="B256" s="76"/>
      <c r="C256" s="27"/>
      <c r="D256" s="70"/>
      <c r="E256" s="71"/>
      <c r="F256" s="70"/>
      <c r="G256" s="73"/>
      <c r="H256" s="74"/>
      <c r="I256" s="73"/>
    </row>
    <row r="257" spans="1:9" x14ac:dyDescent="0.3">
      <c r="A257" s="27"/>
      <c r="B257" s="76"/>
      <c r="C257" s="27"/>
      <c r="D257" s="70"/>
      <c r="E257" s="71"/>
      <c r="F257" s="70"/>
      <c r="G257" s="73"/>
      <c r="H257" s="74"/>
      <c r="I257" s="73"/>
    </row>
    <row r="258" spans="1:9" x14ac:dyDescent="0.3">
      <c r="A258" s="27"/>
      <c r="B258" s="76"/>
      <c r="C258" s="27"/>
      <c r="D258" s="70"/>
      <c r="E258" s="71"/>
      <c r="F258" s="70"/>
      <c r="G258" s="73"/>
      <c r="H258" s="74"/>
      <c r="I258" s="73"/>
    </row>
    <row r="259" spans="1:9" x14ac:dyDescent="0.3">
      <c r="A259" s="27"/>
      <c r="B259" s="76"/>
      <c r="C259" s="27"/>
      <c r="D259" s="70"/>
      <c r="E259" s="71"/>
      <c r="F259" s="70"/>
      <c r="G259" s="73"/>
      <c r="H259" s="74"/>
      <c r="I259" s="73"/>
    </row>
    <row r="260" spans="1:9" x14ac:dyDescent="0.3">
      <c r="A260" s="27"/>
      <c r="B260" s="76"/>
      <c r="C260" s="27"/>
      <c r="D260" s="70"/>
      <c r="E260" s="71"/>
      <c r="F260" s="70"/>
      <c r="G260" s="73"/>
      <c r="H260" s="74"/>
      <c r="I260" s="73"/>
    </row>
    <row r="261" spans="1:9" x14ac:dyDescent="0.3">
      <c r="A261" s="27"/>
      <c r="B261" s="76"/>
      <c r="C261" s="27"/>
      <c r="D261" s="70"/>
      <c r="E261" s="71"/>
      <c r="F261" s="70"/>
      <c r="G261" s="73"/>
      <c r="H261" s="74"/>
      <c r="I261" s="73"/>
    </row>
    <row r="262" spans="1:9" x14ac:dyDescent="0.3">
      <c r="A262" s="27"/>
      <c r="B262" s="76"/>
      <c r="C262" s="27"/>
      <c r="D262" s="70"/>
      <c r="E262" s="71"/>
      <c r="F262" s="70"/>
      <c r="G262" s="73"/>
      <c r="H262" s="74"/>
      <c r="I262" s="73"/>
    </row>
    <row r="263" spans="1:9" x14ac:dyDescent="0.3">
      <c r="A263" s="27"/>
      <c r="B263" s="76"/>
      <c r="C263" s="27"/>
      <c r="D263" s="70"/>
      <c r="E263" s="71"/>
      <c r="F263" s="70"/>
      <c r="G263" s="73"/>
      <c r="H263" s="74"/>
      <c r="I263" s="73"/>
    </row>
    <row r="264" spans="1:9" x14ac:dyDescent="0.3">
      <c r="A264" s="27"/>
      <c r="B264" s="76"/>
      <c r="C264" s="27"/>
      <c r="D264" s="70"/>
      <c r="E264" s="71"/>
      <c r="F264" s="70"/>
      <c r="G264" s="73"/>
      <c r="H264" s="74"/>
      <c r="I264" s="73"/>
    </row>
    <row r="265" spans="1:9" x14ac:dyDescent="0.3">
      <c r="A265" s="27"/>
      <c r="B265" s="76"/>
      <c r="C265" s="27"/>
      <c r="D265" s="70"/>
      <c r="E265" s="71"/>
      <c r="F265" s="70"/>
      <c r="G265" s="73"/>
      <c r="H265" s="74"/>
      <c r="I265" s="73"/>
    </row>
    <row r="266" spans="1:9" x14ac:dyDescent="0.3">
      <c r="A266" s="27"/>
      <c r="B266" s="76"/>
      <c r="C266" s="27"/>
      <c r="D266" s="70"/>
      <c r="E266" s="71"/>
      <c r="F266" s="70"/>
      <c r="G266" s="73"/>
      <c r="H266" s="74"/>
      <c r="I266" s="73"/>
    </row>
    <row r="267" spans="1:9" x14ac:dyDescent="0.3">
      <c r="A267" s="27"/>
      <c r="B267" s="76"/>
      <c r="C267" s="27"/>
      <c r="D267" s="70"/>
      <c r="E267" s="71"/>
      <c r="F267" s="70"/>
      <c r="G267" s="73"/>
      <c r="H267" s="74"/>
      <c r="I267" s="73"/>
    </row>
    <row r="268" spans="1:9" x14ac:dyDescent="0.3">
      <c r="A268" s="27"/>
      <c r="B268" s="76"/>
      <c r="C268" s="27"/>
      <c r="D268" s="70"/>
      <c r="E268" s="71"/>
      <c r="F268" s="70"/>
      <c r="G268" s="73"/>
      <c r="H268" s="74"/>
      <c r="I268" s="73"/>
    </row>
    <row r="269" spans="1:9" x14ac:dyDescent="0.3">
      <c r="A269" s="27"/>
      <c r="B269" s="76"/>
      <c r="C269" s="27"/>
      <c r="D269" s="70"/>
      <c r="E269" s="71"/>
      <c r="F269" s="70"/>
      <c r="G269" s="73"/>
      <c r="H269" s="74"/>
      <c r="I269" s="73"/>
    </row>
    <row r="270" spans="1:9" x14ac:dyDescent="0.3">
      <c r="A270" s="27"/>
      <c r="B270" s="76"/>
      <c r="C270" s="27"/>
      <c r="D270" s="70"/>
      <c r="E270" s="71"/>
      <c r="F270" s="70"/>
      <c r="G270" s="73"/>
      <c r="H270" s="74"/>
      <c r="I270" s="73"/>
    </row>
    <row r="271" spans="1:9" x14ac:dyDescent="0.3">
      <c r="A271" s="27"/>
      <c r="B271" s="76"/>
      <c r="C271" s="27"/>
      <c r="D271" s="70"/>
      <c r="E271" s="71"/>
      <c r="F271" s="70"/>
      <c r="G271" s="73"/>
      <c r="H271" s="74"/>
      <c r="I271" s="73"/>
    </row>
    <row r="272" spans="1:9" x14ac:dyDescent="0.3">
      <c r="A272" s="27"/>
      <c r="B272" s="76"/>
      <c r="C272" s="27"/>
      <c r="D272" s="70"/>
      <c r="E272" s="71"/>
      <c r="F272" s="70"/>
      <c r="G272" s="73"/>
      <c r="H272" s="74"/>
      <c r="I272" s="73"/>
    </row>
    <row r="273" spans="1:9" x14ac:dyDescent="0.3">
      <c r="A273" s="27"/>
      <c r="B273" s="76"/>
      <c r="C273" s="27"/>
      <c r="D273" s="70"/>
      <c r="E273" s="71"/>
      <c r="F273" s="70"/>
      <c r="G273" s="73"/>
      <c r="H273" s="74"/>
      <c r="I273" s="73"/>
    </row>
    <row r="274" spans="1:9" x14ac:dyDescent="0.3">
      <c r="A274" s="27"/>
      <c r="B274" s="76"/>
      <c r="C274" s="27"/>
      <c r="D274" s="70"/>
      <c r="E274" s="71"/>
      <c r="F274" s="70"/>
      <c r="G274" s="73"/>
      <c r="H274" s="74"/>
      <c r="I274" s="73"/>
    </row>
    <row r="275" spans="1:9" x14ac:dyDescent="0.3">
      <c r="A275" s="27"/>
      <c r="B275" s="76"/>
      <c r="C275" s="27"/>
      <c r="D275" s="70"/>
      <c r="E275" s="71"/>
      <c r="F275" s="70"/>
      <c r="G275" s="73"/>
      <c r="H275" s="74"/>
      <c r="I275" s="73"/>
    </row>
    <row r="276" spans="1:9" x14ac:dyDescent="0.3">
      <c r="A276" s="27"/>
      <c r="B276" s="76"/>
      <c r="C276" s="27"/>
      <c r="D276" s="70"/>
      <c r="E276" s="71"/>
      <c r="F276" s="70"/>
      <c r="G276" s="73"/>
      <c r="H276" s="74"/>
      <c r="I276" s="73"/>
    </row>
    <row r="277" spans="1:9" x14ac:dyDescent="0.3">
      <c r="A277" s="27"/>
      <c r="B277" s="76"/>
      <c r="C277" s="27"/>
      <c r="D277" s="70"/>
      <c r="E277" s="71"/>
      <c r="F277" s="70"/>
      <c r="G277" s="73"/>
      <c r="H277" s="74"/>
      <c r="I277" s="73"/>
    </row>
    <row r="278" spans="1:9" x14ac:dyDescent="0.3">
      <c r="A278" s="27"/>
      <c r="B278" s="76"/>
      <c r="C278" s="27"/>
      <c r="D278" s="70"/>
      <c r="E278" s="71"/>
      <c r="F278" s="70"/>
      <c r="G278" s="73"/>
      <c r="H278" s="74"/>
      <c r="I278" s="73"/>
    </row>
    <row r="279" spans="1:9" x14ac:dyDescent="0.3">
      <c r="A279" s="27"/>
      <c r="B279" s="76"/>
      <c r="C279" s="27"/>
      <c r="D279" s="70"/>
      <c r="E279" s="71"/>
      <c r="F279" s="70"/>
      <c r="G279" s="73"/>
      <c r="H279" s="74"/>
      <c r="I279" s="73"/>
    </row>
    <row r="280" spans="1:9" x14ac:dyDescent="0.3">
      <c r="A280" s="27"/>
      <c r="B280" s="76"/>
      <c r="C280" s="27"/>
      <c r="D280" s="70"/>
      <c r="E280" s="71"/>
      <c r="F280" s="70"/>
      <c r="G280" s="73"/>
      <c r="H280" s="74"/>
      <c r="I280" s="73"/>
    </row>
    <row r="281" spans="1:9" x14ac:dyDescent="0.3">
      <c r="A281" s="27"/>
      <c r="B281" s="76"/>
      <c r="C281" s="27"/>
      <c r="D281" s="70"/>
      <c r="E281" s="71"/>
      <c r="F281" s="70"/>
      <c r="G281" s="73"/>
      <c r="H281" s="74"/>
      <c r="I281" s="73"/>
    </row>
    <row r="282" spans="1:9" x14ac:dyDescent="0.3">
      <c r="A282" s="27"/>
      <c r="B282" s="76"/>
      <c r="C282" s="27"/>
      <c r="D282" s="70"/>
      <c r="E282" s="71"/>
      <c r="F282" s="70"/>
      <c r="G282" s="73"/>
      <c r="H282" s="74"/>
      <c r="I282" s="73"/>
    </row>
    <row r="283" spans="1:9" x14ac:dyDescent="0.3">
      <c r="A283" s="27"/>
      <c r="B283" s="76"/>
      <c r="C283" s="27"/>
      <c r="D283" s="70"/>
      <c r="E283" s="71"/>
      <c r="F283" s="70"/>
      <c r="G283" s="73"/>
      <c r="H283" s="74"/>
      <c r="I283" s="73"/>
    </row>
    <row r="284" spans="1:9" x14ac:dyDescent="0.3">
      <c r="A284" s="27"/>
      <c r="B284" s="76"/>
      <c r="C284" s="27"/>
      <c r="D284" s="70"/>
      <c r="E284" s="71"/>
      <c r="F284" s="70"/>
      <c r="G284" s="73"/>
      <c r="H284" s="74"/>
      <c r="I284" s="73"/>
    </row>
    <row r="285" spans="1:9" x14ac:dyDescent="0.3">
      <c r="A285" s="27"/>
      <c r="B285" s="76"/>
      <c r="C285" s="27"/>
      <c r="D285" s="70"/>
      <c r="E285" s="71"/>
      <c r="F285" s="70"/>
      <c r="G285" s="73"/>
      <c r="H285" s="74"/>
      <c r="I285" s="73"/>
    </row>
    <row r="286" spans="1:9" x14ac:dyDescent="0.3">
      <c r="A286" s="27"/>
      <c r="B286" s="76"/>
      <c r="C286" s="27"/>
      <c r="D286" s="70"/>
      <c r="E286" s="71"/>
      <c r="F286" s="70"/>
      <c r="G286" s="73"/>
      <c r="H286" s="74"/>
      <c r="I286" s="73"/>
    </row>
    <row r="287" spans="1:9" x14ac:dyDescent="0.3">
      <c r="A287" s="27"/>
      <c r="B287" s="76"/>
      <c r="C287" s="27"/>
      <c r="D287" s="70"/>
      <c r="E287" s="71"/>
      <c r="F287" s="70"/>
      <c r="G287" s="73"/>
      <c r="H287" s="74"/>
      <c r="I287" s="73"/>
    </row>
    <row r="288" spans="1:9" x14ac:dyDescent="0.3">
      <c r="A288" s="27"/>
      <c r="B288" s="76"/>
      <c r="C288" s="27"/>
      <c r="D288" s="70"/>
      <c r="E288" s="71"/>
      <c r="F288" s="70"/>
      <c r="G288" s="73"/>
      <c r="H288" s="74"/>
      <c r="I288" s="73"/>
    </row>
    <row r="289" spans="1:9" x14ac:dyDescent="0.3">
      <c r="A289" s="27"/>
      <c r="B289" s="76"/>
      <c r="C289" s="27"/>
      <c r="D289" s="70"/>
      <c r="E289" s="71"/>
      <c r="F289" s="70"/>
      <c r="G289" s="73"/>
      <c r="H289" s="74"/>
      <c r="I289" s="73"/>
    </row>
    <row r="290" spans="1:9" x14ac:dyDescent="0.3">
      <c r="A290" s="27"/>
      <c r="B290" s="76"/>
      <c r="C290" s="27"/>
      <c r="D290" s="70"/>
      <c r="E290" s="71"/>
      <c r="F290" s="70"/>
      <c r="G290" s="73"/>
      <c r="H290" s="74"/>
      <c r="I290" s="73"/>
    </row>
    <row r="291" spans="1:9" x14ac:dyDescent="0.3">
      <c r="A291" s="27"/>
      <c r="B291" s="76"/>
      <c r="C291" s="27"/>
      <c r="D291" s="70"/>
      <c r="E291" s="71"/>
      <c r="F291" s="70"/>
      <c r="G291" s="73"/>
      <c r="H291" s="74"/>
      <c r="I291" s="73"/>
    </row>
    <row r="292" spans="1:9" x14ac:dyDescent="0.3">
      <c r="A292" s="27"/>
      <c r="B292" s="76"/>
      <c r="C292" s="27"/>
      <c r="D292" s="70"/>
      <c r="E292" s="71"/>
      <c r="F292" s="70"/>
      <c r="G292" s="73"/>
      <c r="H292" s="74"/>
      <c r="I292" s="73"/>
    </row>
    <row r="293" spans="1:9" x14ac:dyDescent="0.3">
      <c r="A293" s="27"/>
      <c r="B293" s="76"/>
      <c r="C293" s="27"/>
      <c r="D293" s="70"/>
      <c r="E293" s="71"/>
      <c r="F293" s="70"/>
      <c r="G293" s="73"/>
      <c r="H293" s="74"/>
      <c r="I293" s="73"/>
    </row>
    <row r="294" spans="1:9" x14ac:dyDescent="0.3">
      <c r="A294" s="27"/>
      <c r="B294" s="76"/>
      <c r="C294" s="27"/>
      <c r="D294" s="70"/>
      <c r="E294" s="71"/>
      <c r="F294" s="70"/>
      <c r="G294" s="73"/>
      <c r="H294" s="74"/>
      <c r="I294" s="73"/>
    </row>
    <row r="295" spans="1:9" x14ac:dyDescent="0.3">
      <c r="A295" s="27"/>
      <c r="B295" s="76"/>
      <c r="C295" s="27"/>
      <c r="D295" s="70"/>
      <c r="E295" s="71"/>
      <c r="F295" s="70"/>
      <c r="G295" s="73"/>
      <c r="H295" s="74"/>
      <c r="I295" s="73"/>
    </row>
    <row r="296" spans="1:9" x14ac:dyDescent="0.3">
      <c r="A296" s="27"/>
      <c r="B296" s="76"/>
      <c r="C296" s="27"/>
      <c r="D296" s="70"/>
      <c r="E296" s="71"/>
      <c r="F296" s="70"/>
      <c r="G296" s="73"/>
      <c r="H296" s="74"/>
      <c r="I296" s="73"/>
    </row>
    <row r="297" spans="1:9" x14ac:dyDescent="0.3">
      <c r="A297" s="27"/>
      <c r="B297" s="76"/>
      <c r="C297" s="27"/>
      <c r="D297" s="70"/>
      <c r="E297" s="71"/>
      <c r="F297" s="70"/>
      <c r="G297" s="73"/>
      <c r="H297" s="74"/>
      <c r="I297" s="73"/>
    </row>
    <row r="298" spans="1:9" x14ac:dyDescent="0.3">
      <c r="A298" s="27"/>
      <c r="B298" s="76"/>
      <c r="C298" s="27"/>
      <c r="D298" s="70"/>
      <c r="E298" s="71"/>
      <c r="F298" s="70"/>
      <c r="G298" s="73"/>
      <c r="H298" s="74"/>
      <c r="I298" s="73"/>
    </row>
    <row r="299" spans="1:9" x14ac:dyDescent="0.3">
      <c r="A299" s="27"/>
      <c r="B299" s="76"/>
      <c r="C299" s="27"/>
      <c r="D299" s="70"/>
      <c r="E299" s="71"/>
      <c r="F299" s="70"/>
      <c r="G299" s="73"/>
      <c r="H299" s="74"/>
      <c r="I299" s="73"/>
    </row>
    <row r="300" spans="1:9" x14ac:dyDescent="0.3">
      <c r="A300" s="27"/>
      <c r="B300" s="76"/>
      <c r="C300" s="27"/>
      <c r="D300" s="70"/>
      <c r="E300" s="71"/>
      <c r="F300" s="70"/>
      <c r="G300" s="73"/>
      <c r="H300" s="74"/>
      <c r="I300" s="73"/>
    </row>
    <row r="301" spans="1:9" x14ac:dyDescent="0.3">
      <c r="A301" s="27"/>
      <c r="B301" s="76"/>
      <c r="C301" s="27"/>
      <c r="D301" s="70"/>
      <c r="E301" s="71"/>
      <c r="F301" s="70"/>
      <c r="G301" s="73"/>
      <c r="H301" s="74"/>
      <c r="I301" s="73"/>
    </row>
    <row r="302" spans="1:9" x14ac:dyDescent="0.3">
      <c r="A302" s="27"/>
      <c r="B302" s="76"/>
      <c r="C302" s="27"/>
      <c r="D302" s="70"/>
      <c r="E302" s="71"/>
      <c r="F302" s="70"/>
      <c r="G302" s="73"/>
      <c r="H302" s="74"/>
      <c r="I302" s="73"/>
    </row>
    <row r="303" spans="1:9" x14ac:dyDescent="0.3">
      <c r="A303" s="27"/>
      <c r="B303" s="76"/>
      <c r="C303" s="27"/>
      <c r="D303" s="70"/>
      <c r="E303" s="71"/>
      <c r="F303" s="70"/>
      <c r="G303" s="73"/>
      <c r="H303" s="74"/>
      <c r="I303" s="73"/>
    </row>
    <row r="304" spans="1:9" x14ac:dyDescent="0.3">
      <c r="A304" s="27"/>
      <c r="B304" s="76"/>
      <c r="C304" s="27"/>
      <c r="D304" s="70"/>
      <c r="E304" s="71"/>
      <c r="F304" s="70"/>
      <c r="G304" s="73"/>
      <c r="H304" s="74"/>
      <c r="I304" s="73"/>
    </row>
    <row r="305" spans="1:9" x14ac:dyDescent="0.3">
      <c r="A305" s="27"/>
      <c r="B305" s="76"/>
      <c r="C305" s="27"/>
      <c r="D305" s="70"/>
      <c r="E305" s="71"/>
      <c r="F305" s="70"/>
      <c r="G305" s="73"/>
      <c r="H305" s="74"/>
      <c r="I305" s="73"/>
    </row>
    <row r="306" spans="1:9" x14ac:dyDescent="0.3">
      <c r="A306" s="27"/>
      <c r="B306" s="76"/>
      <c r="C306" s="27"/>
      <c r="D306" s="70"/>
      <c r="E306" s="71"/>
      <c r="F306" s="70"/>
      <c r="G306" s="73"/>
      <c r="H306" s="74"/>
      <c r="I306" s="73"/>
    </row>
    <row r="307" spans="1:9" x14ac:dyDescent="0.3">
      <c r="A307" s="27"/>
      <c r="B307" s="76"/>
      <c r="C307" s="27"/>
      <c r="D307" s="70"/>
      <c r="E307" s="71"/>
      <c r="F307" s="70"/>
      <c r="G307" s="73"/>
      <c r="H307" s="74"/>
      <c r="I307" s="73"/>
    </row>
    <row r="308" spans="1:9" x14ac:dyDescent="0.3">
      <c r="A308" s="27"/>
      <c r="B308" s="76"/>
      <c r="C308" s="27"/>
      <c r="D308" s="70"/>
      <c r="E308" s="71"/>
      <c r="F308" s="70"/>
      <c r="G308" s="73"/>
      <c r="H308" s="74"/>
      <c r="I308" s="73"/>
    </row>
    <row r="309" spans="1:9" x14ac:dyDescent="0.3">
      <c r="A309" s="27"/>
      <c r="B309" s="76"/>
      <c r="C309" s="27"/>
      <c r="D309" s="70"/>
      <c r="E309" s="71"/>
      <c r="F309" s="70"/>
      <c r="G309" s="73"/>
      <c r="H309" s="74"/>
      <c r="I309" s="73"/>
    </row>
    <row r="310" spans="1:9" x14ac:dyDescent="0.3">
      <c r="A310" s="27"/>
      <c r="B310" s="76"/>
      <c r="C310" s="27"/>
      <c r="D310" s="70"/>
      <c r="E310" s="71"/>
      <c r="F310" s="70"/>
      <c r="G310" s="73"/>
      <c r="H310" s="74"/>
      <c r="I310" s="73"/>
    </row>
    <row r="311" spans="1:9" x14ac:dyDescent="0.3">
      <c r="A311" s="27"/>
      <c r="B311" s="76"/>
      <c r="C311" s="27"/>
      <c r="D311" s="70"/>
      <c r="E311" s="71"/>
      <c r="F311" s="70"/>
      <c r="G311" s="73"/>
      <c r="H311" s="74"/>
      <c r="I311" s="73"/>
    </row>
    <row r="312" spans="1:9" x14ac:dyDescent="0.3">
      <c r="A312" s="27"/>
      <c r="B312" s="76"/>
      <c r="C312" s="27"/>
      <c r="D312" s="70"/>
      <c r="E312" s="71"/>
      <c r="F312" s="70"/>
      <c r="G312" s="73"/>
      <c r="H312" s="74"/>
      <c r="I312" s="73"/>
    </row>
    <row r="313" spans="1:9" x14ac:dyDescent="0.3">
      <c r="A313" s="27"/>
      <c r="B313" s="76"/>
      <c r="C313" s="27"/>
      <c r="D313" s="70"/>
      <c r="E313" s="71"/>
      <c r="F313" s="70"/>
      <c r="G313" s="73"/>
      <c r="H313" s="74"/>
      <c r="I313" s="73"/>
    </row>
    <row r="314" spans="1:9" x14ac:dyDescent="0.3">
      <c r="A314" s="27"/>
      <c r="B314" s="76"/>
      <c r="C314" s="27"/>
      <c r="D314" s="70"/>
      <c r="E314" s="71"/>
      <c r="F314" s="70"/>
      <c r="G314" s="73"/>
      <c r="H314" s="74"/>
      <c r="I314" s="73"/>
    </row>
    <row r="315" spans="1:9" x14ac:dyDescent="0.3">
      <c r="A315" s="27"/>
      <c r="B315" s="76"/>
      <c r="C315" s="27"/>
      <c r="D315" s="70"/>
      <c r="E315" s="71"/>
      <c r="F315" s="70"/>
      <c r="G315" s="73"/>
      <c r="H315" s="74"/>
      <c r="I315" s="73"/>
    </row>
    <row r="316" spans="1:9" x14ac:dyDescent="0.3">
      <c r="A316" s="27"/>
      <c r="B316" s="76"/>
      <c r="C316" s="27"/>
      <c r="D316" s="70"/>
      <c r="E316" s="71"/>
      <c r="F316" s="70"/>
      <c r="G316" s="73"/>
      <c r="H316" s="74"/>
      <c r="I316" s="73"/>
    </row>
    <row r="317" spans="1:9" x14ac:dyDescent="0.3">
      <c r="A317" s="27"/>
      <c r="B317" s="76"/>
      <c r="C317" s="27"/>
      <c r="D317" s="70"/>
      <c r="E317" s="71"/>
      <c r="F317" s="70"/>
      <c r="G317" s="73"/>
      <c r="H317" s="74"/>
      <c r="I317" s="73"/>
    </row>
    <row r="318" spans="1:9" x14ac:dyDescent="0.3">
      <c r="A318" s="27"/>
      <c r="B318" s="76"/>
      <c r="C318" s="27"/>
      <c r="D318" s="70"/>
      <c r="E318" s="71"/>
      <c r="F318" s="70"/>
      <c r="G318" s="73"/>
      <c r="H318" s="74"/>
      <c r="I318" s="73"/>
    </row>
    <row r="319" spans="1:9" x14ac:dyDescent="0.3">
      <c r="A319" s="27"/>
      <c r="B319" s="76"/>
      <c r="C319" s="27"/>
      <c r="D319" s="70"/>
      <c r="E319" s="71"/>
      <c r="F319" s="70"/>
      <c r="G319" s="73"/>
      <c r="H319" s="74"/>
      <c r="I319" s="73"/>
    </row>
    <row r="320" spans="1:9" x14ac:dyDescent="0.3">
      <c r="A320" s="27"/>
      <c r="B320" s="76"/>
      <c r="C320" s="27"/>
      <c r="D320" s="70"/>
      <c r="E320" s="71"/>
      <c r="F320" s="70"/>
      <c r="G320" s="73"/>
      <c r="H320" s="74"/>
      <c r="I320" s="73"/>
    </row>
    <row r="321" spans="1:9" x14ac:dyDescent="0.3">
      <c r="A321" s="27"/>
      <c r="B321" s="76"/>
      <c r="C321" s="27"/>
      <c r="D321" s="70"/>
      <c r="E321" s="71"/>
      <c r="F321" s="70"/>
      <c r="G321" s="73"/>
      <c r="H321" s="74"/>
      <c r="I321" s="73"/>
    </row>
    <row r="322" spans="1:9" x14ac:dyDescent="0.3">
      <c r="A322" s="27"/>
      <c r="B322" s="76"/>
      <c r="C322" s="27"/>
      <c r="D322" s="70"/>
      <c r="E322" s="71"/>
      <c r="F322" s="70"/>
      <c r="G322" s="73"/>
      <c r="H322" s="74"/>
      <c r="I322" s="73"/>
    </row>
    <row r="323" spans="1:9" x14ac:dyDescent="0.3">
      <c r="A323" s="27"/>
      <c r="B323" s="76"/>
      <c r="C323" s="27"/>
      <c r="D323" s="70"/>
      <c r="E323" s="71"/>
      <c r="F323" s="70"/>
      <c r="G323" s="73"/>
      <c r="H323" s="74"/>
      <c r="I323" s="73"/>
    </row>
    <row r="324" spans="1:9" x14ac:dyDescent="0.3">
      <c r="A324" s="27"/>
      <c r="B324" s="76"/>
      <c r="C324" s="27"/>
      <c r="D324" s="70"/>
      <c r="E324" s="71"/>
      <c r="F324" s="70"/>
      <c r="G324" s="73"/>
      <c r="H324" s="74"/>
      <c r="I324" s="73"/>
    </row>
    <row r="325" spans="1:9" x14ac:dyDescent="0.3">
      <c r="A325" s="27"/>
      <c r="B325" s="76"/>
      <c r="C325" s="27"/>
      <c r="D325" s="70"/>
      <c r="E325" s="71"/>
      <c r="F325" s="70"/>
      <c r="G325" s="73"/>
      <c r="H325" s="74"/>
      <c r="I325" s="73"/>
    </row>
    <row r="326" spans="1:9" x14ac:dyDescent="0.3">
      <c r="A326" s="27"/>
      <c r="B326" s="76"/>
      <c r="C326" s="27"/>
      <c r="D326" s="70"/>
      <c r="E326" s="71"/>
      <c r="F326" s="70"/>
      <c r="G326" s="73"/>
      <c r="H326" s="74"/>
      <c r="I326" s="73"/>
    </row>
    <row r="327" spans="1:9" x14ac:dyDescent="0.3">
      <c r="A327" s="27"/>
      <c r="B327" s="76"/>
      <c r="C327" s="27"/>
      <c r="D327" s="70"/>
      <c r="E327" s="71"/>
      <c r="F327" s="70"/>
      <c r="G327" s="73"/>
      <c r="H327" s="74"/>
      <c r="I327" s="73"/>
    </row>
    <row r="328" spans="1:9" x14ac:dyDescent="0.3">
      <c r="A328" s="27"/>
      <c r="B328" s="76"/>
      <c r="C328" s="27"/>
      <c r="D328" s="70"/>
      <c r="E328" s="71"/>
      <c r="F328" s="70"/>
      <c r="G328" s="73"/>
      <c r="H328" s="74"/>
      <c r="I328" s="73"/>
    </row>
    <row r="329" spans="1:9" x14ac:dyDescent="0.3">
      <c r="A329" s="27"/>
      <c r="B329" s="76"/>
      <c r="C329" s="27"/>
      <c r="D329" s="70"/>
      <c r="E329" s="71"/>
      <c r="F329" s="70"/>
      <c r="G329" s="73"/>
      <c r="H329" s="74"/>
      <c r="I329" s="73"/>
    </row>
    <row r="330" spans="1:9" x14ac:dyDescent="0.3">
      <c r="A330" s="27"/>
      <c r="B330" s="76"/>
      <c r="C330" s="27"/>
      <c r="D330" s="70"/>
      <c r="E330" s="71"/>
      <c r="F330" s="70"/>
      <c r="G330" s="73"/>
      <c r="H330" s="74"/>
      <c r="I330" s="73"/>
    </row>
    <row r="331" spans="1:9" x14ac:dyDescent="0.3">
      <c r="A331" s="27"/>
      <c r="B331" s="76"/>
      <c r="C331" s="27"/>
      <c r="D331" s="70"/>
      <c r="E331" s="71"/>
      <c r="F331" s="70"/>
      <c r="G331" s="73"/>
      <c r="H331" s="74"/>
      <c r="I331" s="73"/>
    </row>
    <row r="332" spans="1:9" x14ac:dyDescent="0.3">
      <c r="A332" s="27"/>
      <c r="B332" s="76"/>
      <c r="C332" s="27"/>
      <c r="D332" s="70"/>
      <c r="E332" s="71"/>
      <c r="F332" s="70"/>
      <c r="G332" s="73"/>
      <c r="H332" s="74"/>
      <c r="I332" s="73"/>
    </row>
    <row r="333" spans="1:9" x14ac:dyDescent="0.3">
      <c r="A333" s="27"/>
      <c r="B333" s="76"/>
      <c r="C333" s="27"/>
      <c r="D333" s="70"/>
      <c r="E333" s="71"/>
      <c r="F333" s="70"/>
      <c r="G333" s="73"/>
      <c r="H333" s="74"/>
      <c r="I333" s="73"/>
    </row>
    <row r="334" spans="1:9" x14ac:dyDescent="0.3">
      <c r="A334" s="27"/>
      <c r="B334" s="76"/>
      <c r="C334" s="27"/>
      <c r="D334" s="70"/>
      <c r="E334" s="71"/>
      <c r="F334" s="70"/>
      <c r="G334" s="73"/>
      <c r="H334" s="74"/>
      <c r="I334" s="73"/>
    </row>
    <row r="335" spans="1:9" x14ac:dyDescent="0.3">
      <c r="A335" s="27"/>
      <c r="B335" s="76"/>
      <c r="C335" s="27"/>
      <c r="D335" s="70"/>
      <c r="E335" s="71"/>
      <c r="F335" s="70"/>
      <c r="G335" s="73"/>
      <c r="H335" s="74"/>
      <c r="I335" s="73"/>
    </row>
    <row r="336" spans="1:9" x14ac:dyDescent="0.3">
      <c r="A336" s="27"/>
      <c r="B336" s="76"/>
      <c r="C336" s="27"/>
      <c r="D336" s="70"/>
      <c r="E336" s="71"/>
      <c r="F336" s="70"/>
      <c r="G336" s="73"/>
      <c r="H336" s="74"/>
      <c r="I336" s="73"/>
    </row>
    <row r="337" spans="1:9" x14ac:dyDescent="0.3">
      <c r="A337" s="27"/>
      <c r="B337" s="76"/>
      <c r="C337" s="27"/>
      <c r="D337" s="70"/>
      <c r="E337" s="71"/>
      <c r="F337" s="70"/>
      <c r="G337" s="73"/>
      <c r="H337" s="74"/>
      <c r="I337" s="73"/>
    </row>
    <row r="338" spans="1:9" x14ac:dyDescent="0.3">
      <c r="A338" s="27"/>
      <c r="B338" s="76"/>
      <c r="C338" s="27"/>
      <c r="D338" s="70"/>
      <c r="E338" s="71"/>
      <c r="F338" s="70"/>
      <c r="G338" s="73"/>
      <c r="H338" s="74"/>
      <c r="I338" s="73"/>
    </row>
    <row r="339" spans="1:9" x14ac:dyDescent="0.3">
      <c r="A339" s="27"/>
      <c r="B339" s="76"/>
      <c r="C339" s="27"/>
      <c r="D339" s="70"/>
      <c r="E339" s="71"/>
      <c r="F339" s="70"/>
      <c r="G339" s="73"/>
      <c r="H339" s="74"/>
      <c r="I339" s="73"/>
    </row>
    <row r="340" spans="1:9" x14ac:dyDescent="0.3">
      <c r="A340" s="27"/>
      <c r="B340" s="76"/>
      <c r="C340" s="27"/>
      <c r="D340" s="70"/>
      <c r="E340" s="71"/>
      <c r="F340" s="70"/>
      <c r="G340" s="73"/>
      <c r="H340" s="74"/>
      <c r="I340" s="73"/>
    </row>
    <row r="341" spans="1:9" x14ac:dyDescent="0.3">
      <c r="A341" s="27"/>
      <c r="B341" s="76"/>
      <c r="C341" s="27"/>
      <c r="D341" s="70"/>
      <c r="E341" s="71"/>
      <c r="F341" s="70"/>
      <c r="G341" s="73"/>
      <c r="H341" s="74"/>
      <c r="I341" s="73"/>
    </row>
    <row r="342" spans="1:9" x14ac:dyDescent="0.3">
      <c r="A342" s="27"/>
      <c r="B342" s="76"/>
      <c r="C342" s="27"/>
      <c r="D342" s="70"/>
      <c r="E342" s="71"/>
      <c r="F342" s="70"/>
      <c r="G342" s="73"/>
      <c r="H342" s="74"/>
      <c r="I342" s="73"/>
    </row>
    <row r="343" spans="1:9" x14ac:dyDescent="0.3">
      <c r="A343" s="27"/>
      <c r="B343" s="76"/>
      <c r="C343" s="27"/>
      <c r="D343" s="70"/>
      <c r="E343" s="71"/>
      <c r="F343" s="70"/>
      <c r="G343" s="73"/>
      <c r="H343" s="74"/>
      <c r="I343" s="73"/>
    </row>
    <row r="344" spans="1:9" x14ac:dyDescent="0.3">
      <c r="A344" s="27"/>
      <c r="B344" s="76"/>
      <c r="C344" s="27"/>
      <c r="D344" s="70"/>
      <c r="E344" s="71"/>
      <c r="F344" s="70"/>
      <c r="G344" s="73"/>
      <c r="H344" s="74"/>
      <c r="I344" s="73"/>
    </row>
    <row r="345" spans="1:9" x14ac:dyDescent="0.3">
      <c r="A345" s="27"/>
      <c r="B345" s="76"/>
      <c r="C345" s="27"/>
      <c r="D345" s="70"/>
      <c r="E345" s="71"/>
      <c r="F345" s="70"/>
      <c r="G345" s="73"/>
      <c r="H345" s="74"/>
      <c r="I345" s="73"/>
    </row>
    <row r="346" spans="1:9" x14ac:dyDescent="0.3">
      <c r="A346" s="27"/>
      <c r="B346" s="76"/>
      <c r="C346" s="27"/>
      <c r="D346" s="70"/>
      <c r="E346" s="71"/>
      <c r="F346" s="70"/>
      <c r="G346" s="73"/>
      <c r="H346" s="74"/>
      <c r="I346" s="73"/>
    </row>
    <row r="347" spans="1:9" x14ac:dyDescent="0.3">
      <c r="A347" s="27"/>
      <c r="B347" s="76"/>
      <c r="C347" s="27"/>
      <c r="D347" s="70"/>
      <c r="E347" s="71"/>
      <c r="F347" s="70"/>
      <c r="G347" s="73"/>
      <c r="H347" s="74"/>
      <c r="I347" s="73"/>
    </row>
    <row r="348" spans="1:9" x14ac:dyDescent="0.3">
      <c r="A348" s="27"/>
      <c r="B348" s="76"/>
      <c r="C348" s="27"/>
      <c r="D348" s="70"/>
      <c r="E348" s="71"/>
      <c r="F348" s="70"/>
      <c r="G348" s="73"/>
      <c r="H348" s="74"/>
      <c r="I348" s="73"/>
    </row>
    <row r="349" spans="1:9" x14ac:dyDescent="0.3">
      <c r="A349" s="27"/>
      <c r="B349" s="76"/>
      <c r="C349" s="27"/>
      <c r="D349" s="70"/>
      <c r="E349" s="71"/>
      <c r="F349" s="70"/>
      <c r="G349" s="73"/>
      <c r="H349" s="74"/>
      <c r="I349" s="73"/>
    </row>
    <row r="350" spans="1:9" x14ac:dyDescent="0.3">
      <c r="A350" s="27"/>
      <c r="B350" s="76"/>
      <c r="C350" s="27"/>
      <c r="D350" s="70"/>
      <c r="E350" s="71"/>
      <c r="F350" s="70"/>
      <c r="G350" s="73"/>
      <c r="H350" s="74"/>
      <c r="I350" s="73"/>
    </row>
    <row r="351" spans="1:9" x14ac:dyDescent="0.3">
      <c r="A351" s="27"/>
      <c r="B351" s="76"/>
      <c r="C351" s="27"/>
      <c r="D351" s="70"/>
      <c r="E351" s="71"/>
      <c r="F351" s="70"/>
      <c r="G351" s="73"/>
      <c r="H351" s="74"/>
      <c r="I351" s="73"/>
    </row>
    <row r="352" spans="1:9" x14ac:dyDescent="0.3">
      <c r="A352" s="27"/>
      <c r="B352" s="76"/>
      <c r="C352" s="27"/>
      <c r="D352" s="70"/>
      <c r="E352" s="71"/>
      <c r="F352" s="70"/>
      <c r="G352" s="73"/>
      <c r="H352" s="74"/>
      <c r="I352" s="73"/>
    </row>
    <row r="353" spans="1:9" x14ac:dyDescent="0.3">
      <c r="A353" s="27"/>
      <c r="B353" s="76"/>
      <c r="C353" s="27"/>
      <c r="D353" s="70"/>
      <c r="E353" s="71"/>
      <c r="F353" s="70"/>
      <c r="G353" s="73"/>
      <c r="H353" s="74"/>
      <c r="I353" s="73"/>
    </row>
    <row r="354" spans="1:9" x14ac:dyDescent="0.3">
      <c r="A354" s="27"/>
      <c r="B354" s="76"/>
      <c r="C354" s="27"/>
      <c r="D354" s="70"/>
      <c r="E354" s="71"/>
      <c r="F354" s="70"/>
      <c r="G354" s="73"/>
      <c r="H354" s="74"/>
      <c r="I354" s="73"/>
    </row>
    <row r="355" spans="1:9" x14ac:dyDescent="0.3">
      <c r="A355" s="27"/>
      <c r="B355" s="76"/>
      <c r="C355" s="27"/>
      <c r="D355" s="70"/>
      <c r="E355" s="71"/>
      <c r="F355" s="70"/>
      <c r="G355" s="73"/>
      <c r="H355" s="74"/>
      <c r="I355" s="73"/>
    </row>
    <row r="356" spans="1:9" x14ac:dyDescent="0.3">
      <c r="A356" s="27"/>
      <c r="B356" s="76"/>
      <c r="C356" s="27"/>
      <c r="D356" s="70"/>
      <c r="E356" s="71"/>
      <c r="F356" s="70"/>
      <c r="G356" s="73"/>
      <c r="H356" s="74"/>
      <c r="I356" s="73"/>
    </row>
    <row r="357" spans="1:9" x14ac:dyDescent="0.3">
      <c r="A357" s="27"/>
      <c r="B357" s="76"/>
      <c r="C357" s="27"/>
      <c r="D357" s="70"/>
      <c r="E357" s="71"/>
      <c r="F357" s="70"/>
      <c r="G357" s="73"/>
      <c r="H357" s="74"/>
      <c r="I357" s="73"/>
    </row>
    <row r="358" spans="1:9" x14ac:dyDescent="0.3">
      <c r="A358" s="27"/>
      <c r="B358" s="76"/>
      <c r="C358" s="27"/>
      <c r="D358" s="70"/>
      <c r="E358" s="71"/>
      <c r="F358" s="70"/>
      <c r="G358" s="73"/>
      <c r="H358" s="74"/>
      <c r="I358" s="73"/>
    </row>
    <row r="359" spans="1:9" x14ac:dyDescent="0.3">
      <c r="A359" s="27"/>
      <c r="B359" s="76"/>
      <c r="C359" s="27"/>
      <c r="D359" s="70"/>
      <c r="E359" s="71"/>
      <c r="F359" s="70"/>
      <c r="G359" s="73"/>
      <c r="H359" s="74"/>
      <c r="I359" s="73"/>
    </row>
    <row r="360" spans="1:9" x14ac:dyDescent="0.3">
      <c r="A360" s="27"/>
      <c r="B360" s="76"/>
      <c r="C360" s="27"/>
      <c r="D360" s="70"/>
      <c r="E360" s="71"/>
      <c r="F360" s="70"/>
      <c r="G360" s="73"/>
      <c r="H360" s="74"/>
      <c r="I360" s="73"/>
    </row>
    <row r="361" spans="1:9" x14ac:dyDescent="0.3">
      <c r="A361" s="27"/>
      <c r="B361" s="76"/>
      <c r="C361" s="27"/>
      <c r="D361" s="70"/>
      <c r="E361" s="71"/>
      <c r="F361" s="70"/>
      <c r="G361" s="73"/>
      <c r="H361" s="74"/>
      <c r="I361" s="73"/>
    </row>
    <row r="362" spans="1:9" x14ac:dyDescent="0.3">
      <c r="A362" s="27"/>
      <c r="B362" s="76"/>
      <c r="C362" s="27"/>
      <c r="D362" s="70"/>
      <c r="E362" s="71"/>
      <c r="F362" s="70"/>
      <c r="G362" s="73"/>
      <c r="H362" s="74"/>
      <c r="I362" s="73"/>
    </row>
    <row r="363" spans="1:9" x14ac:dyDescent="0.3">
      <c r="A363" s="27"/>
      <c r="B363" s="76"/>
      <c r="C363" s="27"/>
      <c r="D363" s="70"/>
      <c r="E363" s="71"/>
      <c r="F363" s="70"/>
      <c r="G363" s="73"/>
      <c r="H363" s="74"/>
      <c r="I363" s="73"/>
    </row>
    <row r="364" spans="1:9" x14ac:dyDescent="0.3">
      <c r="A364" s="27"/>
      <c r="B364" s="76"/>
      <c r="C364" s="27"/>
      <c r="D364" s="70"/>
      <c r="E364" s="71"/>
      <c r="F364" s="70"/>
      <c r="G364" s="73"/>
      <c r="H364" s="74"/>
      <c r="I364" s="73"/>
    </row>
    <row r="365" spans="1:9" x14ac:dyDescent="0.3">
      <c r="A365" s="27"/>
      <c r="B365" s="76"/>
      <c r="C365" s="27"/>
      <c r="D365" s="70"/>
      <c r="E365" s="71"/>
      <c r="F365" s="70"/>
      <c r="G365" s="73"/>
      <c r="H365" s="74"/>
      <c r="I365" s="73"/>
    </row>
    <row r="366" spans="1:9" x14ac:dyDescent="0.3">
      <c r="A366" s="27"/>
      <c r="B366" s="76"/>
      <c r="C366" s="27"/>
      <c r="D366" s="70"/>
      <c r="E366" s="71"/>
      <c r="F366" s="70"/>
      <c r="G366" s="73"/>
      <c r="H366" s="74"/>
      <c r="I366" s="73"/>
    </row>
    <row r="367" spans="1:9" x14ac:dyDescent="0.3">
      <c r="A367" s="27"/>
      <c r="B367" s="76"/>
      <c r="C367" s="27"/>
      <c r="D367" s="70"/>
      <c r="E367" s="71"/>
      <c r="F367" s="70"/>
      <c r="G367" s="73"/>
      <c r="H367" s="74"/>
      <c r="I367" s="73"/>
    </row>
    <row r="368" spans="1:9" x14ac:dyDescent="0.3">
      <c r="A368" s="27"/>
      <c r="B368" s="76"/>
      <c r="C368" s="27"/>
      <c r="D368" s="70"/>
      <c r="E368" s="71"/>
      <c r="F368" s="70"/>
      <c r="G368" s="73"/>
      <c r="H368" s="74"/>
      <c r="I368" s="73"/>
    </row>
    <row r="369" spans="1:9" x14ac:dyDescent="0.3">
      <c r="A369" s="27"/>
      <c r="B369" s="76"/>
      <c r="C369" s="27"/>
      <c r="D369" s="70"/>
      <c r="E369" s="71"/>
      <c r="F369" s="70"/>
      <c r="G369" s="73"/>
      <c r="H369" s="74"/>
      <c r="I369" s="73"/>
    </row>
    <row r="370" spans="1:9" x14ac:dyDescent="0.3">
      <c r="A370" s="27"/>
      <c r="B370" s="76"/>
      <c r="C370" s="27"/>
      <c r="D370" s="70"/>
      <c r="E370" s="71"/>
      <c r="F370" s="70"/>
      <c r="G370" s="73"/>
      <c r="H370" s="74"/>
      <c r="I370" s="73"/>
    </row>
    <row r="371" spans="1:9" x14ac:dyDescent="0.3">
      <c r="A371" s="27"/>
      <c r="B371" s="76"/>
      <c r="C371" s="27"/>
      <c r="D371" s="70"/>
      <c r="E371" s="71"/>
      <c r="F371" s="70"/>
      <c r="G371" s="73"/>
      <c r="H371" s="74"/>
      <c r="I371" s="73"/>
    </row>
    <row r="372" spans="1:9" x14ac:dyDescent="0.3">
      <c r="A372" s="27"/>
      <c r="B372" s="76"/>
      <c r="C372" s="27"/>
      <c r="D372" s="70"/>
      <c r="E372" s="71"/>
      <c r="F372" s="70"/>
      <c r="G372" s="73"/>
      <c r="H372" s="74"/>
      <c r="I372" s="73"/>
    </row>
    <row r="373" spans="1:9" x14ac:dyDescent="0.3">
      <c r="A373" s="27"/>
      <c r="B373" s="76"/>
      <c r="C373" s="27"/>
      <c r="D373" s="70"/>
      <c r="E373" s="71"/>
      <c r="F373" s="70"/>
      <c r="G373" s="73"/>
      <c r="H373" s="74"/>
      <c r="I373" s="73"/>
    </row>
    <row r="374" spans="1:9" x14ac:dyDescent="0.3">
      <c r="A374" s="27"/>
      <c r="B374" s="76"/>
      <c r="C374" s="27"/>
      <c r="D374" s="70"/>
      <c r="E374" s="71"/>
      <c r="F374" s="70"/>
      <c r="G374" s="73"/>
      <c r="H374" s="74"/>
      <c r="I374" s="73"/>
    </row>
    <row r="375" spans="1:9" x14ac:dyDescent="0.3">
      <c r="A375" s="27"/>
      <c r="B375" s="76"/>
      <c r="C375" s="27"/>
      <c r="D375" s="70"/>
      <c r="E375" s="71"/>
      <c r="F375" s="70"/>
      <c r="G375" s="73"/>
      <c r="H375" s="74"/>
      <c r="I375" s="73"/>
    </row>
    <row r="376" spans="1:9" x14ac:dyDescent="0.3">
      <c r="A376" s="27"/>
      <c r="B376" s="76"/>
      <c r="C376" s="27"/>
      <c r="D376" s="70"/>
      <c r="E376" s="71"/>
      <c r="F376" s="70"/>
      <c r="G376" s="73"/>
      <c r="H376" s="74"/>
      <c r="I376" s="73"/>
    </row>
    <row r="377" spans="1:9" x14ac:dyDescent="0.3">
      <c r="A377" s="27"/>
      <c r="B377" s="76"/>
      <c r="C377" s="27"/>
      <c r="D377" s="70"/>
      <c r="E377" s="71"/>
      <c r="F377" s="70"/>
      <c r="G377" s="73"/>
      <c r="H377" s="74"/>
      <c r="I377" s="73"/>
    </row>
    <row r="378" spans="1:9" x14ac:dyDescent="0.3">
      <c r="A378" s="27"/>
      <c r="B378" s="76"/>
      <c r="C378" s="27"/>
      <c r="D378" s="70"/>
      <c r="E378" s="71"/>
      <c r="F378" s="70"/>
      <c r="G378" s="73"/>
      <c r="H378" s="74"/>
      <c r="I378" s="73"/>
    </row>
    <row r="379" spans="1:9" x14ac:dyDescent="0.3">
      <c r="A379" s="27"/>
      <c r="B379" s="76"/>
      <c r="C379" s="27"/>
      <c r="D379" s="70"/>
      <c r="E379" s="71"/>
      <c r="F379" s="70"/>
      <c r="G379" s="73"/>
      <c r="H379" s="74"/>
      <c r="I379" s="73"/>
    </row>
    <row r="380" spans="1:9" x14ac:dyDescent="0.3">
      <c r="A380" s="27"/>
      <c r="B380" s="76"/>
      <c r="C380" s="27"/>
      <c r="D380" s="70"/>
      <c r="E380" s="71"/>
      <c r="F380" s="70"/>
      <c r="G380" s="73"/>
      <c r="H380" s="74"/>
      <c r="I380" s="73"/>
    </row>
    <row r="381" spans="1:9" x14ac:dyDescent="0.3">
      <c r="A381" s="27"/>
      <c r="B381" s="76"/>
      <c r="C381" s="27"/>
      <c r="D381" s="70"/>
      <c r="E381" s="71"/>
      <c r="F381" s="70"/>
      <c r="G381" s="73"/>
      <c r="H381" s="74"/>
      <c r="I381" s="73"/>
    </row>
    <row r="382" spans="1:9" x14ac:dyDescent="0.3">
      <c r="A382" s="27"/>
      <c r="B382" s="76"/>
      <c r="C382" s="27"/>
      <c r="D382" s="70"/>
      <c r="E382" s="71"/>
      <c r="F382" s="70"/>
      <c r="G382" s="73"/>
      <c r="H382" s="74"/>
      <c r="I382" s="73"/>
    </row>
    <row r="383" spans="1:9" x14ac:dyDescent="0.3">
      <c r="A383" s="27"/>
      <c r="B383" s="76"/>
      <c r="C383" s="27"/>
      <c r="D383" s="70"/>
      <c r="E383" s="71"/>
      <c r="F383" s="70"/>
      <c r="G383" s="73"/>
      <c r="H383" s="74"/>
      <c r="I383" s="73"/>
    </row>
    <row r="384" spans="1:9" x14ac:dyDescent="0.3">
      <c r="A384" s="27"/>
      <c r="B384" s="76"/>
      <c r="C384" s="27"/>
      <c r="D384" s="70"/>
      <c r="E384" s="71"/>
      <c r="F384" s="70"/>
      <c r="G384" s="73"/>
      <c r="H384" s="74"/>
      <c r="I384" s="73"/>
    </row>
    <row r="385" spans="1:9" x14ac:dyDescent="0.3">
      <c r="A385" s="27"/>
      <c r="B385" s="76"/>
      <c r="C385" s="27"/>
      <c r="D385" s="70"/>
      <c r="E385" s="71"/>
      <c r="F385" s="70"/>
      <c r="G385" s="73"/>
      <c r="H385" s="74"/>
      <c r="I385" s="73"/>
    </row>
    <row r="386" spans="1:9" x14ac:dyDescent="0.3">
      <c r="A386" s="27"/>
      <c r="B386" s="76"/>
      <c r="C386" s="27"/>
      <c r="D386" s="70"/>
      <c r="E386" s="71"/>
      <c r="F386" s="70"/>
      <c r="G386" s="73"/>
      <c r="H386" s="74"/>
      <c r="I386" s="73"/>
    </row>
    <row r="387" spans="1:9" x14ac:dyDescent="0.3">
      <c r="A387" s="27"/>
      <c r="B387" s="76"/>
      <c r="C387" s="27"/>
      <c r="D387" s="70"/>
      <c r="E387" s="71"/>
      <c r="F387" s="70"/>
      <c r="G387" s="73"/>
      <c r="H387" s="74"/>
      <c r="I387" s="73"/>
    </row>
    <row r="388" spans="1:9" x14ac:dyDescent="0.3">
      <c r="A388" s="27"/>
      <c r="B388" s="76"/>
      <c r="C388" s="27"/>
      <c r="D388" s="70"/>
      <c r="E388" s="71"/>
      <c r="F388" s="70"/>
      <c r="G388" s="73"/>
      <c r="H388" s="74"/>
      <c r="I388" s="73"/>
    </row>
    <row r="389" spans="1:9" x14ac:dyDescent="0.3">
      <c r="A389" s="27"/>
      <c r="B389" s="76"/>
      <c r="C389" s="27"/>
      <c r="D389" s="70"/>
      <c r="E389" s="71"/>
      <c r="F389" s="70"/>
      <c r="G389" s="73"/>
      <c r="H389" s="74"/>
      <c r="I389" s="73"/>
    </row>
    <row r="390" spans="1:9" x14ac:dyDescent="0.3">
      <c r="A390" s="27"/>
      <c r="B390" s="76"/>
      <c r="C390" s="27"/>
      <c r="D390" s="70"/>
      <c r="E390" s="71"/>
      <c r="F390" s="70"/>
      <c r="G390" s="73"/>
      <c r="H390" s="74"/>
      <c r="I390" s="73"/>
    </row>
    <row r="391" spans="1:9" x14ac:dyDescent="0.3">
      <c r="A391" s="27"/>
      <c r="B391" s="76"/>
      <c r="C391" s="27"/>
      <c r="D391" s="70"/>
      <c r="E391" s="71"/>
      <c r="F391" s="70"/>
      <c r="G391" s="73"/>
      <c r="H391" s="74"/>
      <c r="I391" s="73"/>
    </row>
    <row r="392" spans="1:9" x14ac:dyDescent="0.3">
      <c r="A392" s="27"/>
      <c r="B392" s="76"/>
      <c r="C392" s="27"/>
      <c r="D392" s="70"/>
      <c r="E392" s="71"/>
      <c r="F392" s="70"/>
      <c r="G392" s="73"/>
      <c r="H392" s="74"/>
      <c r="I392" s="73"/>
    </row>
    <row r="393" spans="1:9" x14ac:dyDescent="0.3">
      <c r="A393" s="27"/>
      <c r="B393" s="76"/>
      <c r="C393" s="27"/>
      <c r="D393" s="70"/>
      <c r="E393" s="71"/>
      <c r="F393" s="70"/>
      <c r="G393" s="73"/>
      <c r="H393" s="74"/>
      <c r="I393" s="73"/>
    </row>
    <row r="394" spans="1:9" x14ac:dyDescent="0.3">
      <c r="A394" s="27"/>
      <c r="B394" s="76"/>
      <c r="C394" s="27"/>
      <c r="D394" s="70"/>
      <c r="E394" s="71"/>
      <c r="F394" s="70"/>
      <c r="G394" s="73"/>
      <c r="H394" s="74"/>
      <c r="I394" s="73"/>
    </row>
    <row r="395" spans="1:9" x14ac:dyDescent="0.3">
      <c r="A395" s="27"/>
      <c r="B395" s="76"/>
      <c r="C395" s="27"/>
      <c r="D395" s="70"/>
      <c r="E395" s="71"/>
      <c r="F395" s="70"/>
      <c r="G395" s="73"/>
      <c r="H395" s="74"/>
      <c r="I395" s="73"/>
    </row>
    <row r="396" spans="1:9" x14ac:dyDescent="0.3">
      <c r="A396" s="27"/>
      <c r="B396" s="76"/>
      <c r="C396" s="27"/>
      <c r="D396" s="70"/>
      <c r="E396" s="71"/>
      <c r="F396" s="70"/>
      <c r="G396" s="73"/>
      <c r="H396" s="74"/>
      <c r="I396" s="73"/>
    </row>
    <row r="397" spans="1:9" x14ac:dyDescent="0.3">
      <c r="A397" s="27"/>
      <c r="B397" s="76"/>
      <c r="C397" s="27"/>
      <c r="D397" s="70"/>
      <c r="E397" s="71"/>
      <c r="F397" s="70"/>
      <c r="G397" s="73"/>
      <c r="H397" s="74"/>
      <c r="I397" s="73"/>
    </row>
    <row r="398" spans="1:9" x14ac:dyDescent="0.3">
      <c r="A398" s="27"/>
      <c r="B398" s="76"/>
      <c r="C398" s="27"/>
      <c r="D398" s="70"/>
      <c r="E398" s="71"/>
      <c r="F398" s="70"/>
      <c r="G398" s="73"/>
      <c r="H398" s="74"/>
      <c r="I398" s="73"/>
    </row>
    <row r="399" spans="1:9" x14ac:dyDescent="0.3">
      <c r="A399" s="27"/>
      <c r="B399" s="76"/>
      <c r="C399" s="27"/>
      <c r="D399" s="70"/>
      <c r="E399" s="71"/>
      <c r="F399" s="70"/>
      <c r="G399" s="73"/>
      <c r="H399" s="74"/>
      <c r="I399" s="73"/>
    </row>
    <row r="400" spans="1:9" x14ac:dyDescent="0.3">
      <c r="A400" s="27"/>
      <c r="B400" s="76"/>
      <c r="C400" s="27"/>
      <c r="D400" s="70"/>
      <c r="E400" s="71"/>
      <c r="F400" s="70"/>
      <c r="G400" s="73"/>
      <c r="H400" s="74"/>
      <c r="I400" s="73"/>
    </row>
    <row r="401" spans="1:9" x14ac:dyDescent="0.3">
      <c r="A401" s="27"/>
      <c r="B401" s="76"/>
      <c r="C401" s="27"/>
      <c r="D401" s="70"/>
      <c r="E401" s="71"/>
      <c r="F401" s="70"/>
      <c r="G401" s="73"/>
      <c r="H401" s="74"/>
      <c r="I401" s="73"/>
    </row>
    <row r="402" spans="1:9" x14ac:dyDescent="0.3">
      <c r="A402" s="27"/>
      <c r="B402" s="76"/>
      <c r="C402" s="27"/>
      <c r="D402" s="70"/>
      <c r="E402" s="71"/>
      <c r="F402" s="70"/>
      <c r="G402" s="73"/>
      <c r="H402" s="74"/>
      <c r="I402" s="73"/>
    </row>
    <row r="403" spans="1:9" x14ac:dyDescent="0.3">
      <c r="A403" s="27"/>
      <c r="B403" s="76"/>
      <c r="C403" s="27"/>
      <c r="D403" s="70"/>
      <c r="E403" s="71"/>
      <c r="F403" s="70"/>
      <c r="G403" s="73"/>
      <c r="H403" s="74"/>
      <c r="I403" s="73"/>
    </row>
    <row r="404" spans="1:9" x14ac:dyDescent="0.3">
      <c r="A404" s="27"/>
      <c r="B404" s="76"/>
      <c r="C404" s="27"/>
      <c r="D404" s="70"/>
      <c r="E404" s="71"/>
      <c r="F404" s="70"/>
      <c r="G404" s="73"/>
      <c r="H404" s="74"/>
      <c r="I404" s="73"/>
    </row>
    <row r="405" spans="1:9" x14ac:dyDescent="0.3">
      <c r="A405" s="27"/>
      <c r="B405" s="76"/>
      <c r="C405" s="27"/>
      <c r="D405" s="70"/>
      <c r="E405" s="71"/>
      <c r="F405" s="70"/>
      <c r="G405" s="73"/>
      <c r="H405" s="74"/>
      <c r="I405" s="73"/>
    </row>
    <row r="406" spans="1:9" x14ac:dyDescent="0.3">
      <c r="A406" s="27"/>
      <c r="B406" s="76"/>
      <c r="C406" s="27"/>
      <c r="D406" s="70"/>
      <c r="E406" s="71"/>
      <c r="F406" s="70"/>
      <c r="G406" s="73"/>
      <c r="H406" s="74"/>
      <c r="I406" s="73"/>
    </row>
    <row r="407" spans="1:9" x14ac:dyDescent="0.3">
      <c r="A407" s="27"/>
      <c r="B407" s="76"/>
      <c r="C407" s="27"/>
      <c r="D407" s="70"/>
      <c r="E407" s="71"/>
      <c r="F407" s="70"/>
      <c r="G407" s="73"/>
      <c r="H407" s="74"/>
      <c r="I407" s="73"/>
    </row>
    <row r="408" spans="1:9" x14ac:dyDescent="0.3">
      <c r="A408" s="27"/>
      <c r="B408" s="76"/>
      <c r="C408" s="27"/>
      <c r="D408" s="70"/>
      <c r="E408" s="71"/>
      <c r="F408" s="70"/>
      <c r="G408" s="73"/>
      <c r="H408" s="74"/>
      <c r="I408" s="73"/>
    </row>
    <row r="409" spans="1:9" x14ac:dyDescent="0.3">
      <c r="A409" s="27"/>
      <c r="B409" s="76"/>
      <c r="C409" s="27"/>
      <c r="D409" s="70"/>
      <c r="E409" s="71"/>
      <c r="F409" s="70"/>
      <c r="G409" s="73"/>
      <c r="H409" s="74"/>
      <c r="I409" s="73"/>
    </row>
    <row r="410" spans="1:9" x14ac:dyDescent="0.3">
      <c r="A410" s="27"/>
      <c r="B410" s="76"/>
      <c r="C410" s="27"/>
      <c r="D410" s="70"/>
      <c r="E410" s="71"/>
      <c r="F410" s="70"/>
      <c r="G410" s="73"/>
      <c r="H410" s="74"/>
      <c r="I410" s="73"/>
    </row>
    <row r="411" spans="1:9" x14ac:dyDescent="0.3">
      <c r="A411" s="27"/>
      <c r="B411" s="76"/>
      <c r="C411" s="27"/>
      <c r="D411" s="70"/>
      <c r="E411" s="71"/>
      <c r="F411" s="70"/>
      <c r="G411" s="73"/>
      <c r="H411" s="74"/>
      <c r="I411" s="73"/>
    </row>
    <row r="412" spans="1:9" x14ac:dyDescent="0.3">
      <c r="A412" s="27"/>
      <c r="B412" s="76"/>
      <c r="C412" s="27"/>
      <c r="D412" s="70"/>
      <c r="E412" s="71"/>
      <c r="F412" s="70"/>
      <c r="G412" s="73"/>
      <c r="H412" s="74"/>
      <c r="I412" s="73"/>
    </row>
    <row r="413" spans="1:9" x14ac:dyDescent="0.3">
      <c r="A413" s="27"/>
      <c r="B413" s="76"/>
      <c r="C413" s="27"/>
      <c r="D413" s="70"/>
      <c r="E413" s="71"/>
      <c r="F413" s="70"/>
      <c r="G413" s="73"/>
      <c r="H413" s="74"/>
      <c r="I413" s="73"/>
    </row>
    <row r="414" spans="1:9" x14ac:dyDescent="0.3">
      <c r="A414" s="27"/>
      <c r="B414" s="76"/>
      <c r="C414" s="27"/>
      <c r="D414" s="70"/>
      <c r="E414" s="71"/>
      <c r="F414" s="70"/>
      <c r="G414" s="73"/>
      <c r="H414" s="74"/>
      <c r="I414" s="73"/>
    </row>
    <row r="415" spans="1:9" x14ac:dyDescent="0.3">
      <c r="A415" s="27"/>
      <c r="B415" s="76"/>
      <c r="C415" s="27"/>
      <c r="D415" s="70"/>
      <c r="E415" s="71"/>
      <c r="F415" s="70"/>
      <c r="G415" s="73"/>
      <c r="H415" s="74"/>
      <c r="I415" s="73"/>
    </row>
    <row r="416" spans="1:9" x14ac:dyDescent="0.3">
      <c r="A416" s="27"/>
      <c r="B416" s="76"/>
      <c r="C416" s="27"/>
      <c r="D416" s="70"/>
      <c r="E416" s="71"/>
      <c r="F416" s="70"/>
      <c r="G416" s="73"/>
      <c r="H416" s="74"/>
      <c r="I416" s="73"/>
    </row>
    <row r="417" spans="1:9" x14ac:dyDescent="0.3">
      <c r="A417" s="27"/>
      <c r="B417" s="76"/>
      <c r="C417" s="27"/>
      <c r="D417" s="70"/>
      <c r="E417" s="71"/>
      <c r="F417" s="70"/>
      <c r="G417" s="73"/>
      <c r="H417" s="74"/>
      <c r="I417" s="73"/>
    </row>
    <row r="418" spans="1:9" x14ac:dyDescent="0.3">
      <c r="A418" s="27"/>
      <c r="B418" s="76"/>
      <c r="C418" s="27"/>
      <c r="D418" s="70"/>
      <c r="E418" s="71"/>
      <c r="F418" s="70"/>
      <c r="G418" s="73"/>
      <c r="H418" s="74"/>
      <c r="I418" s="73"/>
    </row>
    <row r="419" spans="1:9" x14ac:dyDescent="0.3">
      <c r="A419" s="27"/>
      <c r="B419" s="76"/>
      <c r="C419" s="27"/>
      <c r="D419" s="70"/>
      <c r="E419" s="71"/>
      <c r="F419" s="70"/>
      <c r="G419" s="73"/>
      <c r="H419" s="74"/>
      <c r="I419" s="73"/>
    </row>
    <row r="420" spans="1:9" x14ac:dyDescent="0.3">
      <c r="A420" s="27"/>
      <c r="B420" s="76"/>
      <c r="C420" s="27"/>
      <c r="D420" s="70"/>
      <c r="E420" s="71"/>
      <c r="F420" s="70"/>
      <c r="G420" s="73"/>
      <c r="H420" s="74"/>
      <c r="I420" s="73"/>
    </row>
    <row r="421" spans="1:9" x14ac:dyDescent="0.3">
      <c r="A421" s="27"/>
      <c r="B421" s="76"/>
      <c r="C421" s="27"/>
      <c r="D421" s="70"/>
      <c r="E421" s="71"/>
      <c r="F421" s="70"/>
      <c r="G421" s="73"/>
      <c r="H421" s="74"/>
      <c r="I421" s="73"/>
    </row>
    <row r="422" spans="1:9" x14ac:dyDescent="0.3">
      <c r="A422" s="27"/>
      <c r="B422" s="76"/>
      <c r="C422" s="27"/>
      <c r="D422" s="70"/>
      <c r="E422" s="71"/>
      <c r="F422" s="70"/>
      <c r="G422" s="73"/>
      <c r="H422" s="74"/>
      <c r="I422" s="73"/>
    </row>
    <row r="423" spans="1:9" x14ac:dyDescent="0.3">
      <c r="A423" s="27"/>
      <c r="B423" s="76"/>
      <c r="C423" s="27"/>
      <c r="D423" s="70"/>
      <c r="E423" s="71"/>
      <c r="F423" s="70"/>
      <c r="G423" s="73"/>
      <c r="H423" s="74"/>
      <c r="I423" s="73"/>
    </row>
    <row r="424" spans="1:9" x14ac:dyDescent="0.3">
      <c r="A424" s="27"/>
      <c r="B424" s="76"/>
      <c r="C424" s="27"/>
      <c r="D424" s="70"/>
      <c r="E424" s="71"/>
      <c r="F424" s="70"/>
      <c r="G424" s="73"/>
      <c r="H424" s="74"/>
      <c r="I424" s="73"/>
    </row>
    <row r="425" spans="1:9" x14ac:dyDescent="0.3">
      <c r="A425" s="27"/>
      <c r="B425" s="76"/>
      <c r="C425" s="27"/>
      <c r="D425" s="70"/>
      <c r="E425" s="71"/>
      <c r="F425" s="70"/>
      <c r="G425" s="73"/>
      <c r="H425" s="74"/>
      <c r="I425" s="73"/>
    </row>
    <row r="426" spans="1:9" x14ac:dyDescent="0.3">
      <c r="A426" s="27"/>
      <c r="B426" s="76"/>
      <c r="C426" s="27"/>
      <c r="D426" s="70"/>
      <c r="E426" s="71"/>
      <c r="F426" s="70"/>
      <c r="G426" s="73"/>
      <c r="H426" s="74"/>
      <c r="I426" s="73"/>
    </row>
    <row r="427" spans="1:9" x14ac:dyDescent="0.3">
      <c r="A427" s="27"/>
      <c r="B427" s="76"/>
      <c r="C427" s="27"/>
      <c r="D427" s="70"/>
      <c r="E427" s="71"/>
      <c r="F427" s="70"/>
      <c r="G427" s="73"/>
      <c r="H427" s="74"/>
      <c r="I427" s="73"/>
    </row>
    <row r="428" spans="1:9" x14ac:dyDescent="0.3">
      <c r="A428" s="27"/>
      <c r="B428" s="76"/>
      <c r="C428" s="27"/>
      <c r="D428" s="70"/>
      <c r="E428" s="71"/>
      <c r="F428" s="70"/>
      <c r="G428" s="73"/>
      <c r="H428" s="74"/>
      <c r="I428" s="73"/>
    </row>
    <row r="429" spans="1:9" x14ac:dyDescent="0.3">
      <c r="A429" s="27"/>
      <c r="B429" s="76"/>
      <c r="C429" s="27"/>
      <c r="D429" s="70"/>
      <c r="E429" s="71"/>
      <c r="F429" s="70"/>
      <c r="G429" s="73"/>
      <c r="H429" s="74"/>
      <c r="I429" s="73"/>
    </row>
    <row r="430" spans="1:9" x14ac:dyDescent="0.3">
      <c r="A430" s="27"/>
      <c r="B430" s="76"/>
      <c r="C430" s="27"/>
      <c r="D430" s="70"/>
      <c r="E430" s="71"/>
      <c r="F430" s="70"/>
      <c r="G430" s="73"/>
      <c r="H430" s="74"/>
      <c r="I430" s="73"/>
    </row>
    <row r="431" spans="1:9" x14ac:dyDescent="0.3">
      <c r="A431" s="27"/>
      <c r="B431" s="76"/>
      <c r="C431" s="27"/>
      <c r="D431" s="70"/>
      <c r="E431" s="71"/>
      <c r="F431" s="70"/>
      <c r="G431" s="73"/>
      <c r="H431" s="74"/>
      <c r="I431" s="73"/>
    </row>
    <row r="432" spans="1:9" x14ac:dyDescent="0.3">
      <c r="A432" s="27"/>
      <c r="B432" s="76"/>
      <c r="C432" s="27"/>
      <c r="D432" s="70"/>
      <c r="E432" s="71"/>
      <c r="F432" s="70"/>
      <c r="G432" s="73"/>
      <c r="H432" s="74"/>
      <c r="I432" s="73"/>
    </row>
    <row r="433" spans="1:9" x14ac:dyDescent="0.3">
      <c r="A433" s="27"/>
      <c r="B433" s="76"/>
      <c r="C433" s="27"/>
      <c r="D433" s="70"/>
      <c r="E433" s="71"/>
      <c r="F433" s="70"/>
      <c r="G433" s="73"/>
      <c r="H433" s="74"/>
      <c r="I433" s="73"/>
    </row>
    <row r="434" spans="1:9" x14ac:dyDescent="0.3">
      <c r="A434" s="27"/>
      <c r="B434" s="76"/>
      <c r="C434" s="27"/>
      <c r="D434" s="70"/>
      <c r="E434" s="71"/>
      <c r="F434" s="70"/>
      <c r="G434" s="73"/>
      <c r="H434" s="74"/>
      <c r="I434" s="73"/>
    </row>
    <row r="435" spans="1:9" x14ac:dyDescent="0.3">
      <c r="A435" s="27"/>
      <c r="B435" s="76"/>
      <c r="C435" s="27"/>
      <c r="D435" s="70"/>
      <c r="E435" s="71"/>
      <c r="F435" s="70"/>
      <c r="G435" s="73"/>
      <c r="H435" s="74"/>
      <c r="I435" s="73"/>
    </row>
    <row r="436" spans="1:9" x14ac:dyDescent="0.3">
      <c r="A436" s="27"/>
      <c r="B436" s="76"/>
      <c r="C436" s="27"/>
      <c r="D436" s="70"/>
      <c r="E436" s="71"/>
      <c r="F436" s="70"/>
      <c r="G436" s="73"/>
      <c r="H436" s="74"/>
      <c r="I436" s="73"/>
    </row>
    <row r="437" spans="1:9" x14ac:dyDescent="0.3">
      <c r="A437" s="27"/>
      <c r="B437" s="76"/>
      <c r="C437" s="27"/>
      <c r="D437" s="70"/>
      <c r="E437" s="71"/>
      <c r="F437" s="70"/>
      <c r="G437" s="73"/>
      <c r="H437" s="74"/>
      <c r="I437" s="73"/>
    </row>
    <row r="438" spans="1:9" x14ac:dyDescent="0.3">
      <c r="A438" s="27"/>
      <c r="B438" s="76"/>
      <c r="C438" s="27"/>
      <c r="D438" s="70"/>
      <c r="E438" s="71"/>
      <c r="F438" s="70"/>
      <c r="G438" s="73"/>
      <c r="H438" s="74"/>
      <c r="I438" s="73"/>
    </row>
    <row r="439" spans="1:9" x14ac:dyDescent="0.3">
      <c r="A439" s="27"/>
      <c r="B439" s="76"/>
      <c r="C439" s="27"/>
      <c r="D439" s="70"/>
      <c r="E439" s="71"/>
      <c r="F439" s="70"/>
      <c r="G439" s="73"/>
      <c r="H439" s="74"/>
      <c r="I439" s="73"/>
    </row>
    <row r="440" spans="1:9" x14ac:dyDescent="0.3">
      <c r="A440" s="27"/>
      <c r="B440" s="76"/>
      <c r="C440" s="27"/>
      <c r="D440" s="70"/>
      <c r="E440" s="71"/>
      <c r="F440" s="70"/>
      <c r="G440" s="73"/>
      <c r="H440" s="74"/>
      <c r="I440" s="73"/>
    </row>
    <row r="441" spans="1:9" x14ac:dyDescent="0.3">
      <c r="A441" s="27"/>
      <c r="B441" s="76"/>
      <c r="C441" s="27"/>
      <c r="D441" s="70"/>
      <c r="E441" s="71"/>
      <c r="F441" s="70"/>
      <c r="G441" s="73"/>
      <c r="H441" s="74"/>
      <c r="I441" s="73"/>
    </row>
    <row r="442" spans="1:9" x14ac:dyDescent="0.3">
      <c r="A442" s="27"/>
      <c r="B442" s="76"/>
      <c r="C442" s="27"/>
      <c r="D442" s="70"/>
      <c r="E442" s="71"/>
      <c r="F442" s="70"/>
      <c r="G442" s="73"/>
      <c r="H442" s="74"/>
      <c r="I442" s="73"/>
    </row>
    <row r="443" spans="1:9" x14ac:dyDescent="0.3">
      <c r="A443" s="27"/>
      <c r="B443" s="76"/>
      <c r="C443" s="27"/>
      <c r="D443" s="70"/>
      <c r="E443" s="71"/>
      <c r="F443" s="70"/>
      <c r="G443" s="73"/>
      <c r="H443" s="74"/>
      <c r="I443" s="73"/>
    </row>
    <row r="444" spans="1:9" x14ac:dyDescent="0.3">
      <c r="A444" s="27"/>
      <c r="B444" s="76"/>
      <c r="C444" s="27"/>
      <c r="D444" s="70"/>
      <c r="E444" s="71"/>
      <c r="F444" s="70"/>
      <c r="G444" s="73"/>
      <c r="H444" s="74"/>
      <c r="I444" s="73"/>
    </row>
    <row r="445" spans="1:9" x14ac:dyDescent="0.3">
      <c r="A445" s="27"/>
      <c r="B445" s="76"/>
      <c r="C445" s="27"/>
      <c r="D445" s="70"/>
      <c r="E445" s="71"/>
      <c r="F445" s="70"/>
      <c r="G445" s="73"/>
      <c r="H445" s="74"/>
      <c r="I445" s="73"/>
    </row>
    <row r="446" spans="1:9" x14ac:dyDescent="0.3">
      <c r="A446" s="27"/>
      <c r="B446" s="76"/>
      <c r="C446" s="27"/>
      <c r="D446" s="70"/>
      <c r="E446" s="71"/>
      <c r="F446" s="70"/>
      <c r="G446" s="73"/>
      <c r="H446" s="74"/>
      <c r="I446" s="73"/>
    </row>
    <row r="447" spans="1:9" x14ac:dyDescent="0.3">
      <c r="A447" s="27"/>
      <c r="B447" s="76"/>
      <c r="C447" s="27"/>
      <c r="D447" s="70"/>
      <c r="E447" s="71"/>
      <c r="F447" s="70"/>
      <c r="G447" s="73"/>
      <c r="H447" s="74"/>
      <c r="I447" s="73"/>
    </row>
    <row r="448" spans="1:9" x14ac:dyDescent="0.3">
      <c r="A448" s="27"/>
      <c r="B448" s="76"/>
      <c r="C448" s="27"/>
      <c r="D448" s="70"/>
      <c r="E448" s="71"/>
      <c r="F448" s="70"/>
      <c r="G448" s="73"/>
      <c r="H448" s="74"/>
      <c r="I448" s="73"/>
    </row>
    <row r="449" spans="1:9" x14ac:dyDescent="0.3">
      <c r="A449" s="27"/>
      <c r="B449" s="76"/>
      <c r="C449" s="27"/>
      <c r="D449" s="70"/>
      <c r="E449" s="71"/>
      <c r="F449" s="70"/>
      <c r="G449" s="73"/>
      <c r="H449" s="74"/>
      <c r="I449" s="73"/>
    </row>
    <row r="450" spans="1:9" x14ac:dyDescent="0.3">
      <c r="A450" s="27"/>
      <c r="B450" s="76"/>
      <c r="C450" s="27"/>
      <c r="D450" s="70"/>
      <c r="E450" s="71"/>
      <c r="F450" s="70"/>
      <c r="G450" s="73"/>
      <c r="H450" s="74"/>
      <c r="I450" s="73"/>
    </row>
    <row r="451" spans="1:9" x14ac:dyDescent="0.3">
      <c r="A451" s="27"/>
      <c r="B451" s="76"/>
      <c r="C451" s="27"/>
      <c r="D451" s="70"/>
      <c r="E451" s="71"/>
      <c r="F451" s="70"/>
      <c r="G451" s="73"/>
      <c r="H451" s="74"/>
      <c r="I451" s="73"/>
    </row>
    <row r="452" spans="1:9" x14ac:dyDescent="0.3">
      <c r="A452" s="27"/>
      <c r="B452" s="76"/>
      <c r="C452" s="27"/>
      <c r="D452" s="70"/>
      <c r="E452" s="71"/>
      <c r="F452" s="70"/>
      <c r="G452" s="73"/>
      <c r="H452" s="74"/>
      <c r="I452" s="73"/>
    </row>
    <row r="453" spans="1:9" x14ac:dyDescent="0.3">
      <c r="A453" s="27"/>
      <c r="B453" s="76"/>
      <c r="C453" s="27"/>
      <c r="D453" s="70"/>
      <c r="E453" s="71"/>
      <c r="F453" s="70"/>
      <c r="G453" s="73"/>
      <c r="H453" s="74"/>
      <c r="I453" s="73"/>
    </row>
    <row r="454" spans="1:9" x14ac:dyDescent="0.3">
      <c r="A454" s="27"/>
      <c r="B454" s="76"/>
      <c r="C454" s="27"/>
      <c r="D454" s="70"/>
      <c r="E454" s="71"/>
      <c r="F454" s="70"/>
      <c r="G454" s="73"/>
      <c r="H454" s="74"/>
      <c r="I454" s="73"/>
    </row>
    <row r="455" spans="1:9" x14ac:dyDescent="0.3">
      <c r="A455" s="27"/>
      <c r="B455" s="76"/>
      <c r="C455" s="27"/>
      <c r="D455" s="70"/>
      <c r="E455" s="71"/>
      <c r="F455" s="70"/>
      <c r="G455" s="73"/>
      <c r="H455" s="74"/>
      <c r="I455" s="73"/>
    </row>
    <row r="456" spans="1:9" x14ac:dyDescent="0.3">
      <c r="A456" s="27"/>
      <c r="B456" s="76"/>
      <c r="C456" s="27"/>
      <c r="D456" s="70"/>
      <c r="E456" s="71"/>
      <c r="F456" s="70"/>
      <c r="G456" s="73"/>
      <c r="H456" s="74"/>
      <c r="I456" s="73"/>
    </row>
    <row r="457" spans="1:9" x14ac:dyDescent="0.3">
      <c r="A457" s="27"/>
      <c r="B457" s="76"/>
      <c r="C457" s="27"/>
      <c r="D457" s="70"/>
      <c r="E457" s="71"/>
      <c r="F457" s="70"/>
      <c r="G457" s="73"/>
      <c r="H457" s="74"/>
      <c r="I457" s="73"/>
    </row>
    <row r="458" spans="1:9" x14ac:dyDescent="0.3">
      <c r="A458" s="27"/>
      <c r="B458" s="76"/>
      <c r="C458" s="27"/>
      <c r="D458" s="70"/>
      <c r="E458" s="71"/>
      <c r="F458" s="70"/>
      <c r="G458" s="73"/>
      <c r="H458" s="74"/>
      <c r="I458" s="73"/>
    </row>
    <row r="459" spans="1:9" x14ac:dyDescent="0.3">
      <c r="A459" s="27"/>
      <c r="B459" s="76"/>
      <c r="C459" s="27"/>
      <c r="D459" s="70"/>
      <c r="E459" s="71"/>
      <c r="F459" s="70"/>
      <c r="G459" s="73"/>
      <c r="H459" s="74"/>
      <c r="I459" s="73"/>
    </row>
    <row r="460" spans="1:9" x14ac:dyDescent="0.3">
      <c r="A460" s="27"/>
      <c r="B460" s="76"/>
      <c r="C460" s="27"/>
      <c r="D460" s="70"/>
      <c r="E460" s="71"/>
      <c r="F460" s="70"/>
      <c r="G460" s="73"/>
      <c r="H460" s="74"/>
      <c r="I460" s="73"/>
    </row>
    <row r="461" spans="1:9" x14ac:dyDescent="0.3">
      <c r="A461" s="27"/>
      <c r="B461" s="76"/>
      <c r="C461" s="27"/>
      <c r="D461" s="70"/>
      <c r="E461" s="71"/>
      <c r="F461" s="70"/>
      <c r="G461" s="73"/>
      <c r="H461" s="74"/>
      <c r="I461" s="73"/>
    </row>
    <row r="462" spans="1:9" x14ac:dyDescent="0.3">
      <c r="A462" s="27"/>
      <c r="B462" s="76"/>
      <c r="C462" s="27"/>
      <c r="D462" s="70"/>
      <c r="E462" s="71"/>
      <c r="F462" s="70"/>
      <c r="G462" s="73"/>
      <c r="H462" s="74"/>
      <c r="I462" s="73"/>
    </row>
    <row r="463" spans="1:9" x14ac:dyDescent="0.3">
      <c r="A463" s="27"/>
      <c r="B463" s="76"/>
      <c r="C463" s="27"/>
      <c r="D463" s="70"/>
      <c r="E463" s="71"/>
      <c r="F463" s="70"/>
      <c r="G463" s="73"/>
      <c r="H463" s="74"/>
      <c r="I463" s="73"/>
    </row>
    <row r="464" spans="1:9" x14ac:dyDescent="0.3">
      <c r="A464" s="27"/>
      <c r="B464" s="76"/>
      <c r="C464" s="27"/>
      <c r="D464" s="70"/>
      <c r="E464" s="71"/>
      <c r="F464" s="70"/>
      <c r="G464" s="73"/>
      <c r="H464" s="74"/>
      <c r="I464" s="73"/>
    </row>
    <row r="465" spans="1:9" x14ac:dyDescent="0.3">
      <c r="A465" s="27"/>
      <c r="B465" s="76"/>
      <c r="C465" s="27"/>
      <c r="D465" s="70"/>
      <c r="E465" s="71"/>
      <c r="F465" s="70"/>
      <c r="G465" s="73"/>
      <c r="H465" s="74"/>
      <c r="I465" s="73"/>
    </row>
    <row r="466" spans="1:9" x14ac:dyDescent="0.3">
      <c r="A466" s="27"/>
      <c r="B466" s="76"/>
      <c r="C466" s="27"/>
      <c r="D466" s="70"/>
      <c r="E466" s="71"/>
      <c r="F466" s="70"/>
      <c r="G466" s="73"/>
      <c r="H466" s="74"/>
      <c r="I466" s="73"/>
    </row>
    <row r="467" spans="1:9" x14ac:dyDescent="0.3">
      <c r="A467" s="27"/>
      <c r="B467" s="76"/>
      <c r="C467" s="27"/>
      <c r="D467" s="70"/>
      <c r="E467" s="71"/>
      <c r="F467" s="70"/>
      <c r="G467" s="73"/>
      <c r="H467" s="74"/>
      <c r="I467" s="73"/>
    </row>
    <row r="468" spans="1:9" x14ac:dyDescent="0.3">
      <c r="A468" s="27"/>
      <c r="B468" s="76"/>
      <c r="C468" s="27"/>
      <c r="D468" s="70"/>
      <c r="E468" s="71"/>
      <c r="F468" s="70"/>
      <c r="G468" s="73"/>
      <c r="H468" s="74"/>
      <c r="I468" s="73"/>
    </row>
    <row r="469" spans="1:9" x14ac:dyDescent="0.3">
      <c r="A469" s="27"/>
      <c r="B469" s="76"/>
      <c r="C469" s="27"/>
      <c r="D469" s="70"/>
      <c r="E469" s="71"/>
      <c r="F469" s="70"/>
      <c r="G469" s="73"/>
      <c r="H469" s="74"/>
      <c r="I469" s="73"/>
    </row>
    <row r="470" spans="1:9" x14ac:dyDescent="0.3">
      <c r="A470" s="27"/>
      <c r="B470" s="76"/>
      <c r="C470" s="27"/>
      <c r="D470" s="70"/>
      <c r="E470" s="71"/>
      <c r="F470" s="70"/>
      <c r="G470" s="73"/>
      <c r="H470" s="74"/>
      <c r="I470" s="73"/>
    </row>
    <row r="471" spans="1:9" x14ac:dyDescent="0.3">
      <c r="A471" s="27"/>
      <c r="B471" s="76"/>
      <c r="C471" s="27"/>
      <c r="D471" s="70"/>
      <c r="E471" s="71"/>
      <c r="F471" s="70"/>
      <c r="G471" s="73"/>
      <c r="H471" s="74"/>
      <c r="I471" s="73"/>
    </row>
    <row r="472" spans="1:9" x14ac:dyDescent="0.3">
      <c r="A472" s="27"/>
      <c r="B472" s="76"/>
      <c r="C472" s="27"/>
      <c r="D472" s="70"/>
      <c r="E472" s="71"/>
      <c r="F472" s="70"/>
      <c r="G472" s="73"/>
      <c r="H472" s="74"/>
      <c r="I472" s="73"/>
    </row>
    <row r="473" spans="1:9" x14ac:dyDescent="0.3">
      <c r="A473" s="27"/>
      <c r="B473" s="76"/>
      <c r="C473" s="27"/>
      <c r="D473" s="70"/>
      <c r="E473" s="71"/>
      <c r="F473" s="70"/>
      <c r="G473" s="73"/>
      <c r="H473" s="74"/>
      <c r="I473" s="73"/>
    </row>
    <row r="474" spans="1:9" x14ac:dyDescent="0.3">
      <c r="A474" s="27"/>
      <c r="B474" s="76"/>
      <c r="C474" s="27"/>
      <c r="D474" s="70"/>
      <c r="E474" s="71"/>
      <c r="F474" s="70"/>
      <c r="G474" s="73"/>
      <c r="H474" s="74"/>
      <c r="I474" s="73"/>
    </row>
    <row r="475" spans="1:9" x14ac:dyDescent="0.3">
      <c r="A475" s="27"/>
      <c r="B475" s="76"/>
      <c r="C475" s="27"/>
      <c r="D475" s="70"/>
      <c r="E475" s="71"/>
      <c r="F475" s="70"/>
      <c r="G475" s="73"/>
      <c r="H475" s="74"/>
      <c r="I475" s="73"/>
    </row>
    <row r="476" spans="1:9" x14ac:dyDescent="0.3">
      <c r="A476" s="27"/>
      <c r="B476" s="76"/>
      <c r="C476" s="27"/>
      <c r="D476" s="70"/>
      <c r="E476" s="71"/>
      <c r="F476" s="70"/>
      <c r="G476" s="73"/>
      <c r="H476" s="74"/>
      <c r="I476" s="73"/>
    </row>
    <row r="477" spans="1:9" x14ac:dyDescent="0.3">
      <c r="A477" s="27"/>
      <c r="B477" s="76"/>
      <c r="C477" s="27"/>
      <c r="D477" s="70"/>
      <c r="E477" s="71"/>
      <c r="F477" s="70"/>
      <c r="G477" s="73"/>
      <c r="H477" s="74"/>
      <c r="I477" s="73"/>
    </row>
    <row r="478" spans="1:9" x14ac:dyDescent="0.3">
      <c r="A478" s="27"/>
      <c r="B478" s="76"/>
      <c r="C478" s="27"/>
      <c r="D478" s="70"/>
      <c r="E478" s="71"/>
      <c r="F478" s="70"/>
      <c r="G478" s="73"/>
      <c r="H478" s="74"/>
      <c r="I478" s="73"/>
    </row>
    <row r="479" spans="1:9" x14ac:dyDescent="0.3">
      <c r="A479" s="27"/>
      <c r="B479" s="76"/>
      <c r="C479" s="27"/>
      <c r="D479" s="70"/>
      <c r="E479" s="71"/>
      <c r="F479" s="70"/>
      <c r="G479" s="73"/>
      <c r="H479" s="74"/>
      <c r="I479" s="73"/>
    </row>
    <row r="480" spans="1:9" x14ac:dyDescent="0.3">
      <c r="A480" s="27"/>
      <c r="B480" s="76"/>
      <c r="C480" s="27"/>
      <c r="D480" s="70"/>
      <c r="E480" s="71"/>
      <c r="F480" s="70"/>
      <c r="G480" s="73"/>
      <c r="H480" s="74"/>
      <c r="I480" s="73"/>
    </row>
    <row r="481" spans="1:9" x14ac:dyDescent="0.3">
      <c r="A481" s="27"/>
      <c r="B481" s="76"/>
      <c r="C481" s="27"/>
      <c r="D481" s="70"/>
      <c r="E481" s="71"/>
      <c r="F481" s="70"/>
      <c r="G481" s="73"/>
      <c r="H481" s="74"/>
      <c r="I481" s="73"/>
    </row>
    <row r="482" spans="1:9" x14ac:dyDescent="0.3">
      <c r="A482" s="27"/>
      <c r="B482" s="76"/>
      <c r="C482" s="27"/>
      <c r="D482" s="70"/>
      <c r="E482" s="71"/>
      <c r="F482" s="70"/>
      <c r="G482" s="73"/>
      <c r="H482" s="74"/>
      <c r="I482" s="73"/>
    </row>
    <row r="483" spans="1:9" x14ac:dyDescent="0.3">
      <c r="A483" s="27"/>
      <c r="B483" s="76"/>
      <c r="C483" s="27"/>
      <c r="D483" s="70"/>
      <c r="E483" s="71"/>
      <c r="F483" s="70"/>
      <c r="G483" s="73"/>
      <c r="H483" s="74"/>
      <c r="I483" s="73"/>
    </row>
    <row r="484" spans="1:9" x14ac:dyDescent="0.3">
      <c r="A484" s="27"/>
      <c r="B484" s="76"/>
      <c r="C484" s="27"/>
      <c r="D484" s="70"/>
      <c r="E484" s="71"/>
      <c r="F484" s="70"/>
      <c r="G484" s="73"/>
      <c r="H484" s="74"/>
      <c r="I484" s="73"/>
    </row>
    <row r="485" spans="1:9" x14ac:dyDescent="0.3">
      <c r="A485" s="27"/>
      <c r="B485" s="76"/>
      <c r="C485" s="27"/>
      <c r="D485" s="70"/>
      <c r="E485" s="71"/>
      <c r="F485" s="70"/>
      <c r="G485" s="73"/>
      <c r="H485" s="74"/>
      <c r="I485" s="73"/>
    </row>
    <row r="486" spans="1:9" x14ac:dyDescent="0.3">
      <c r="A486" s="27"/>
      <c r="B486" s="76"/>
      <c r="C486" s="27"/>
      <c r="D486" s="70"/>
      <c r="E486" s="71"/>
      <c r="F486" s="70"/>
      <c r="G486" s="73"/>
      <c r="H486" s="74"/>
      <c r="I486" s="73"/>
    </row>
    <row r="487" spans="1:9" x14ac:dyDescent="0.3">
      <c r="A487" s="27"/>
      <c r="B487" s="76"/>
      <c r="C487" s="27"/>
      <c r="D487" s="70"/>
      <c r="E487" s="71"/>
      <c r="F487" s="70"/>
      <c r="G487" s="73"/>
      <c r="H487" s="74"/>
      <c r="I487" s="73"/>
    </row>
    <row r="488" spans="1:9" x14ac:dyDescent="0.3">
      <c r="A488" s="27"/>
      <c r="B488" s="76"/>
      <c r="C488" s="27"/>
      <c r="D488" s="70"/>
      <c r="E488" s="71"/>
      <c r="F488" s="70"/>
      <c r="G488" s="73"/>
      <c r="H488" s="74"/>
      <c r="I488" s="73"/>
    </row>
    <row r="489" spans="1:9" x14ac:dyDescent="0.3">
      <c r="A489" s="27"/>
      <c r="B489" s="76"/>
      <c r="C489" s="27"/>
      <c r="D489" s="70"/>
      <c r="E489" s="71"/>
      <c r="F489" s="70"/>
      <c r="G489" s="73"/>
      <c r="H489" s="74"/>
      <c r="I489" s="73"/>
    </row>
    <row r="490" spans="1:9" x14ac:dyDescent="0.3">
      <c r="A490" s="27"/>
      <c r="B490" s="76"/>
      <c r="C490" s="27"/>
      <c r="D490" s="70"/>
      <c r="E490" s="71"/>
      <c r="F490" s="70"/>
      <c r="G490" s="73"/>
      <c r="H490" s="74"/>
      <c r="I490" s="73"/>
    </row>
    <row r="491" spans="1:9" x14ac:dyDescent="0.3">
      <c r="A491" s="27"/>
      <c r="B491" s="76"/>
      <c r="C491" s="27"/>
      <c r="D491" s="70"/>
      <c r="E491" s="71"/>
      <c r="F491" s="70"/>
      <c r="G491" s="73"/>
      <c r="H491" s="74"/>
      <c r="I491" s="73"/>
    </row>
    <row r="492" spans="1:9" x14ac:dyDescent="0.3">
      <c r="A492" s="27"/>
      <c r="B492" s="76"/>
      <c r="C492" s="27"/>
      <c r="D492" s="70"/>
      <c r="E492" s="71"/>
      <c r="F492" s="70"/>
      <c r="G492" s="73"/>
      <c r="H492" s="74"/>
      <c r="I492" s="73"/>
    </row>
    <row r="493" spans="1:9" x14ac:dyDescent="0.3">
      <c r="A493" s="27"/>
      <c r="B493" s="76"/>
      <c r="C493" s="27"/>
      <c r="D493" s="70"/>
      <c r="E493" s="71"/>
      <c r="F493" s="70"/>
      <c r="G493" s="73"/>
      <c r="H493" s="74"/>
      <c r="I493" s="73"/>
    </row>
    <row r="494" spans="1:9" x14ac:dyDescent="0.3">
      <c r="A494" s="27"/>
      <c r="B494" s="76"/>
      <c r="C494" s="27"/>
      <c r="D494" s="70"/>
      <c r="E494" s="71"/>
      <c r="F494" s="70"/>
      <c r="G494" s="73"/>
      <c r="H494" s="74"/>
      <c r="I494" s="73"/>
    </row>
    <row r="495" spans="1:9" x14ac:dyDescent="0.3">
      <c r="A495" s="27"/>
      <c r="B495" s="76"/>
      <c r="C495" s="27"/>
      <c r="D495" s="70"/>
      <c r="E495" s="71"/>
      <c r="F495" s="70"/>
      <c r="G495" s="73"/>
      <c r="H495" s="74"/>
      <c r="I495" s="73"/>
    </row>
    <row r="496" spans="1:9" x14ac:dyDescent="0.3">
      <c r="A496" s="27"/>
      <c r="B496" s="76"/>
      <c r="C496" s="27"/>
      <c r="D496" s="70"/>
      <c r="E496" s="71"/>
      <c r="F496" s="70"/>
      <c r="G496" s="73"/>
      <c r="H496" s="74"/>
      <c r="I496" s="73"/>
    </row>
    <row r="497" spans="1:9" x14ac:dyDescent="0.3">
      <c r="A497" s="27"/>
      <c r="B497" s="76"/>
      <c r="C497" s="27"/>
      <c r="D497" s="70"/>
      <c r="E497" s="71"/>
      <c r="F497" s="70"/>
      <c r="G497" s="73"/>
      <c r="H497" s="74"/>
      <c r="I497" s="73"/>
    </row>
    <row r="498" spans="1:9" x14ac:dyDescent="0.3">
      <c r="A498" s="27"/>
      <c r="B498" s="76"/>
      <c r="C498" s="27"/>
      <c r="D498" s="70"/>
      <c r="E498" s="71"/>
      <c r="F498" s="70"/>
      <c r="G498" s="73"/>
      <c r="H498" s="74"/>
      <c r="I498" s="73"/>
    </row>
    <row r="499" spans="1:9" x14ac:dyDescent="0.3">
      <c r="A499" s="27"/>
      <c r="B499" s="76"/>
      <c r="C499" s="27"/>
      <c r="D499" s="70"/>
      <c r="E499" s="71"/>
      <c r="F499" s="70"/>
      <c r="G499" s="73"/>
      <c r="H499" s="74"/>
      <c r="I499" s="73"/>
    </row>
    <row r="500" spans="1:9" x14ac:dyDescent="0.3">
      <c r="A500" s="27"/>
      <c r="B500" s="76"/>
      <c r="C500" s="27"/>
      <c r="D500" s="70"/>
      <c r="E500" s="71"/>
      <c r="F500" s="70"/>
      <c r="G500" s="73"/>
      <c r="H500" s="74"/>
      <c r="I500" s="73"/>
    </row>
    <row r="501" spans="1:9" x14ac:dyDescent="0.3">
      <c r="A501" s="27"/>
      <c r="B501" s="76"/>
      <c r="C501" s="27"/>
      <c r="D501" s="70"/>
      <c r="E501" s="71"/>
      <c r="F501" s="70"/>
      <c r="G501" s="73"/>
      <c r="H501" s="74"/>
      <c r="I501" s="73"/>
    </row>
    <row r="502" spans="1:9" x14ac:dyDescent="0.3">
      <c r="A502" s="27"/>
      <c r="B502" s="76"/>
      <c r="C502" s="27"/>
      <c r="D502" s="70"/>
      <c r="E502" s="71"/>
      <c r="F502" s="70"/>
      <c r="G502" s="73"/>
      <c r="H502" s="74"/>
      <c r="I502" s="73"/>
    </row>
    <row r="503" spans="1:9" x14ac:dyDescent="0.3">
      <c r="A503" s="27"/>
      <c r="B503" s="76"/>
      <c r="C503" s="27"/>
      <c r="D503" s="70"/>
      <c r="E503" s="71"/>
      <c r="F503" s="70"/>
      <c r="G503" s="73"/>
      <c r="H503" s="74"/>
      <c r="I503" s="73"/>
    </row>
    <row r="504" spans="1:9" x14ac:dyDescent="0.3">
      <c r="A504" s="27"/>
      <c r="B504" s="76"/>
      <c r="C504" s="27"/>
      <c r="D504" s="70"/>
      <c r="E504" s="71"/>
      <c r="F504" s="70"/>
      <c r="G504" s="73"/>
      <c r="H504" s="74"/>
      <c r="I504" s="73"/>
    </row>
    <row r="505" spans="1:9" x14ac:dyDescent="0.3">
      <c r="A505" s="27"/>
      <c r="B505" s="76"/>
      <c r="C505" s="27"/>
      <c r="D505" s="70"/>
      <c r="E505" s="71"/>
      <c r="F505" s="70"/>
      <c r="G505" s="73"/>
      <c r="H505" s="74"/>
      <c r="I505" s="73"/>
    </row>
    <row r="506" spans="1:9" x14ac:dyDescent="0.3">
      <c r="A506" s="27"/>
      <c r="B506" s="76"/>
      <c r="C506" s="27"/>
      <c r="D506" s="70"/>
      <c r="E506" s="71"/>
      <c r="F506" s="70"/>
      <c r="G506" s="73"/>
      <c r="H506" s="74"/>
      <c r="I506" s="73"/>
    </row>
    <row r="507" spans="1:9" x14ac:dyDescent="0.3">
      <c r="A507" s="27"/>
      <c r="B507" s="76"/>
      <c r="C507" s="27"/>
      <c r="D507" s="70"/>
      <c r="E507" s="71"/>
      <c r="F507" s="70"/>
      <c r="G507" s="73"/>
      <c r="H507" s="74"/>
      <c r="I507" s="73"/>
    </row>
    <row r="508" spans="1:9" x14ac:dyDescent="0.3">
      <c r="A508" s="27"/>
      <c r="B508" s="76"/>
      <c r="C508" s="27"/>
      <c r="D508" s="70"/>
      <c r="E508" s="71"/>
      <c r="F508" s="70"/>
      <c r="G508" s="73"/>
      <c r="H508" s="74"/>
      <c r="I508" s="73"/>
    </row>
    <row r="509" spans="1:9" x14ac:dyDescent="0.3">
      <c r="A509" s="27"/>
      <c r="B509" s="76"/>
      <c r="C509" s="27"/>
      <c r="D509" s="70"/>
      <c r="E509" s="71"/>
      <c r="F509" s="70"/>
      <c r="G509" s="73"/>
      <c r="H509" s="74"/>
      <c r="I509" s="73"/>
    </row>
    <row r="510" spans="1:9" x14ac:dyDescent="0.3">
      <c r="A510" s="27"/>
      <c r="B510" s="76"/>
      <c r="C510" s="27"/>
      <c r="D510" s="70"/>
      <c r="E510" s="71"/>
      <c r="F510" s="70"/>
      <c r="G510" s="73"/>
      <c r="H510" s="74"/>
      <c r="I510" s="73"/>
    </row>
    <row r="511" spans="1:9" x14ac:dyDescent="0.3">
      <c r="A511" s="27"/>
      <c r="B511" s="76"/>
      <c r="C511" s="27"/>
      <c r="D511" s="70"/>
      <c r="E511" s="71"/>
      <c r="F511" s="70"/>
      <c r="G511" s="73"/>
      <c r="H511" s="74"/>
      <c r="I511" s="73"/>
    </row>
    <row r="512" spans="1:9" x14ac:dyDescent="0.3">
      <c r="A512" s="27"/>
      <c r="B512" s="76"/>
      <c r="C512" s="27"/>
      <c r="D512" s="70"/>
      <c r="E512" s="71"/>
      <c r="F512" s="70"/>
      <c r="G512" s="73"/>
      <c r="H512" s="74"/>
      <c r="I512" s="73"/>
    </row>
    <row r="513" spans="1:9" x14ac:dyDescent="0.3">
      <c r="A513" s="27"/>
      <c r="B513" s="76"/>
      <c r="C513" s="27"/>
      <c r="D513" s="70"/>
      <c r="E513" s="71"/>
      <c r="F513" s="70"/>
      <c r="G513" s="73"/>
      <c r="H513" s="74"/>
      <c r="I513" s="73"/>
    </row>
    <row r="514" spans="1:9" x14ac:dyDescent="0.3">
      <c r="A514" s="27"/>
      <c r="B514" s="76"/>
      <c r="C514" s="27"/>
      <c r="D514" s="70"/>
      <c r="E514" s="71"/>
      <c r="F514" s="70"/>
      <c r="G514" s="73"/>
      <c r="H514" s="74"/>
      <c r="I514" s="73"/>
    </row>
    <row r="515" spans="1:9" x14ac:dyDescent="0.3">
      <c r="A515" s="27"/>
      <c r="B515" s="76"/>
      <c r="C515" s="27"/>
      <c r="D515" s="70"/>
      <c r="E515" s="71"/>
      <c r="F515" s="70"/>
      <c r="G515" s="73"/>
      <c r="H515" s="74"/>
      <c r="I515" s="73"/>
    </row>
    <row r="516" spans="1:9" x14ac:dyDescent="0.3">
      <c r="A516" s="27"/>
      <c r="B516" s="76"/>
      <c r="C516" s="27"/>
      <c r="D516" s="70"/>
      <c r="E516" s="71"/>
      <c r="F516" s="70"/>
      <c r="G516" s="73"/>
      <c r="H516" s="74"/>
      <c r="I516" s="73"/>
    </row>
    <row r="517" spans="1:9" x14ac:dyDescent="0.3">
      <c r="A517" s="27"/>
      <c r="B517" s="76"/>
      <c r="C517" s="27"/>
      <c r="D517" s="70"/>
      <c r="E517" s="71"/>
      <c r="F517" s="70"/>
      <c r="G517" s="73"/>
      <c r="H517" s="74"/>
      <c r="I517" s="73"/>
    </row>
    <row r="518" spans="1:9" x14ac:dyDescent="0.3">
      <c r="A518" s="27"/>
      <c r="B518" s="76"/>
      <c r="C518" s="27"/>
      <c r="D518" s="70"/>
      <c r="E518" s="71"/>
      <c r="F518" s="70"/>
      <c r="G518" s="73"/>
      <c r="H518" s="74"/>
      <c r="I518" s="73"/>
    </row>
    <row r="519" spans="1:9" x14ac:dyDescent="0.3">
      <c r="A519" s="27"/>
      <c r="B519" s="76"/>
      <c r="C519" s="27"/>
      <c r="D519" s="70"/>
      <c r="E519" s="71"/>
      <c r="F519" s="70"/>
      <c r="G519" s="73"/>
      <c r="H519" s="74"/>
      <c r="I519" s="73"/>
    </row>
    <row r="520" spans="1:9" x14ac:dyDescent="0.3">
      <c r="A520" s="27"/>
      <c r="B520" s="76"/>
      <c r="C520" s="27"/>
      <c r="D520" s="70"/>
      <c r="E520" s="71"/>
      <c r="F520" s="70"/>
      <c r="G520" s="73"/>
      <c r="H520" s="74"/>
      <c r="I520" s="73"/>
    </row>
    <row r="521" spans="1:9" x14ac:dyDescent="0.3">
      <c r="A521" s="27"/>
      <c r="B521" s="76"/>
      <c r="C521" s="27"/>
      <c r="D521" s="70"/>
      <c r="E521" s="71"/>
      <c r="F521" s="70"/>
      <c r="G521" s="73"/>
      <c r="H521" s="74"/>
      <c r="I521" s="73"/>
    </row>
    <row r="522" spans="1:9" x14ac:dyDescent="0.3">
      <c r="A522" s="27"/>
      <c r="B522" s="76"/>
      <c r="C522" s="27"/>
      <c r="D522" s="70"/>
      <c r="E522" s="71"/>
      <c r="F522" s="70"/>
      <c r="G522" s="73"/>
      <c r="H522" s="74"/>
      <c r="I522" s="73"/>
    </row>
    <row r="523" spans="1:9" x14ac:dyDescent="0.3">
      <c r="A523" s="27"/>
      <c r="B523" s="76"/>
      <c r="C523" s="27"/>
      <c r="D523" s="70"/>
      <c r="E523" s="71"/>
      <c r="F523" s="70"/>
      <c r="G523" s="73"/>
      <c r="H523" s="74"/>
      <c r="I523" s="73"/>
    </row>
    <row r="524" spans="1:9" x14ac:dyDescent="0.3">
      <c r="A524" s="27"/>
      <c r="B524" s="76"/>
      <c r="C524" s="27"/>
      <c r="D524" s="70"/>
      <c r="E524" s="71"/>
      <c r="F524" s="70"/>
      <c r="G524" s="73"/>
      <c r="H524" s="74"/>
      <c r="I524" s="73"/>
    </row>
    <row r="525" spans="1:9" x14ac:dyDescent="0.3">
      <c r="A525" s="27"/>
      <c r="B525" s="76"/>
      <c r="C525" s="27"/>
      <c r="D525" s="70"/>
      <c r="E525" s="71"/>
      <c r="F525" s="70"/>
      <c r="G525" s="73"/>
      <c r="H525" s="74"/>
      <c r="I525" s="73"/>
    </row>
    <row r="526" spans="1:9" x14ac:dyDescent="0.3">
      <c r="A526" s="27"/>
      <c r="B526" s="76"/>
      <c r="C526" s="27"/>
      <c r="D526" s="70"/>
      <c r="E526" s="71"/>
      <c r="F526" s="70"/>
      <c r="G526" s="73"/>
      <c r="H526" s="74"/>
      <c r="I526" s="73"/>
    </row>
    <row r="527" spans="1:9" x14ac:dyDescent="0.3">
      <c r="A527" s="27"/>
      <c r="B527" s="76"/>
      <c r="C527" s="27"/>
      <c r="D527" s="70"/>
      <c r="E527" s="71"/>
      <c r="F527" s="70"/>
      <c r="G527" s="73"/>
      <c r="H527" s="74"/>
      <c r="I527" s="73"/>
    </row>
    <row r="528" spans="1:9" x14ac:dyDescent="0.3">
      <c r="A528" s="27"/>
      <c r="B528" s="76"/>
      <c r="C528" s="27"/>
      <c r="D528" s="70"/>
      <c r="E528" s="71"/>
      <c r="F528" s="70"/>
      <c r="G528" s="73"/>
      <c r="H528" s="74"/>
      <c r="I528" s="73"/>
    </row>
    <row r="529" spans="1:9" x14ac:dyDescent="0.3">
      <c r="A529" s="27"/>
      <c r="B529" s="76"/>
      <c r="C529" s="27"/>
      <c r="D529" s="70"/>
      <c r="E529" s="71"/>
      <c r="F529" s="70"/>
      <c r="G529" s="73"/>
      <c r="H529" s="74"/>
      <c r="I529" s="73"/>
    </row>
    <row r="530" spans="1:9" x14ac:dyDescent="0.3">
      <c r="A530" s="27"/>
      <c r="B530" s="76"/>
      <c r="C530" s="27"/>
      <c r="D530" s="70"/>
      <c r="E530" s="71"/>
      <c r="F530" s="70"/>
      <c r="G530" s="73"/>
      <c r="H530" s="74"/>
      <c r="I530" s="73"/>
    </row>
    <row r="531" spans="1:9" x14ac:dyDescent="0.3">
      <c r="A531" s="27"/>
      <c r="B531" s="76"/>
      <c r="C531" s="27"/>
      <c r="D531" s="70"/>
      <c r="E531" s="71"/>
      <c r="F531" s="70"/>
      <c r="G531" s="73"/>
      <c r="H531" s="74"/>
      <c r="I531" s="73"/>
    </row>
    <row r="532" spans="1:9" x14ac:dyDescent="0.3">
      <c r="A532" s="27"/>
      <c r="B532" s="76"/>
      <c r="C532" s="27"/>
      <c r="D532" s="70"/>
      <c r="E532" s="71"/>
      <c r="F532" s="70"/>
      <c r="G532" s="73"/>
      <c r="H532" s="74"/>
      <c r="I532" s="73"/>
    </row>
    <row r="533" spans="1:9" x14ac:dyDescent="0.3">
      <c r="A533" s="27"/>
      <c r="B533" s="76"/>
      <c r="C533" s="27"/>
      <c r="D533" s="70"/>
      <c r="E533" s="71"/>
      <c r="F533" s="70"/>
      <c r="G533" s="73"/>
      <c r="H533" s="74"/>
      <c r="I533" s="73"/>
    </row>
    <row r="534" spans="1:9" x14ac:dyDescent="0.3">
      <c r="A534" s="27"/>
      <c r="B534" s="76"/>
      <c r="C534" s="27"/>
      <c r="D534" s="70"/>
      <c r="E534" s="71"/>
      <c r="F534" s="70"/>
      <c r="G534" s="73"/>
      <c r="H534" s="74"/>
      <c r="I534" s="73"/>
    </row>
    <row r="535" spans="1:9" x14ac:dyDescent="0.3">
      <c r="A535" s="27"/>
      <c r="B535" s="76"/>
      <c r="C535" s="27"/>
      <c r="D535" s="70"/>
      <c r="E535" s="71"/>
      <c r="F535" s="70"/>
      <c r="G535" s="73"/>
      <c r="H535" s="74"/>
      <c r="I535" s="73"/>
    </row>
    <row r="536" spans="1:9" x14ac:dyDescent="0.3">
      <c r="A536" s="27"/>
      <c r="B536" s="76"/>
      <c r="C536" s="27"/>
      <c r="D536" s="70"/>
      <c r="E536" s="71"/>
      <c r="F536" s="70"/>
      <c r="G536" s="73"/>
      <c r="H536" s="74"/>
      <c r="I536" s="73"/>
    </row>
    <row r="537" spans="1:9" x14ac:dyDescent="0.3">
      <c r="A537" s="27"/>
      <c r="B537" s="76"/>
      <c r="C537" s="27"/>
      <c r="D537" s="70"/>
      <c r="E537" s="71"/>
      <c r="F537" s="70"/>
      <c r="G537" s="73"/>
      <c r="H537" s="74"/>
      <c r="I537" s="73"/>
    </row>
    <row r="538" spans="1:9" x14ac:dyDescent="0.3">
      <c r="A538" s="27"/>
      <c r="B538" s="76"/>
      <c r="C538" s="27"/>
      <c r="D538" s="70"/>
      <c r="E538" s="71"/>
      <c r="F538" s="70"/>
      <c r="G538" s="73"/>
      <c r="H538" s="74"/>
      <c r="I538" s="73"/>
    </row>
    <row r="539" spans="1:9" x14ac:dyDescent="0.3">
      <c r="A539" s="27"/>
      <c r="B539" s="76"/>
      <c r="C539" s="27"/>
      <c r="D539" s="70"/>
      <c r="E539" s="71"/>
      <c r="F539" s="70"/>
      <c r="G539" s="73"/>
      <c r="H539" s="74"/>
      <c r="I539" s="73"/>
    </row>
    <row r="540" spans="1:9" x14ac:dyDescent="0.3">
      <c r="A540" s="27"/>
      <c r="B540" s="76"/>
      <c r="C540" s="27"/>
      <c r="D540" s="70"/>
      <c r="E540" s="71"/>
      <c r="F540" s="70"/>
      <c r="G540" s="73"/>
      <c r="H540" s="74"/>
      <c r="I540" s="73"/>
    </row>
    <row r="541" spans="1:9" x14ac:dyDescent="0.3">
      <c r="A541" s="27"/>
      <c r="B541" s="76"/>
      <c r="C541" s="27"/>
      <c r="D541" s="70"/>
      <c r="E541" s="71"/>
      <c r="F541" s="70"/>
      <c r="G541" s="73"/>
      <c r="H541" s="74"/>
      <c r="I541" s="73"/>
    </row>
    <row r="542" spans="1:9" x14ac:dyDescent="0.3">
      <c r="A542" s="27"/>
      <c r="B542" s="76"/>
      <c r="C542" s="27"/>
      <c r="D542" s="70"/>
      <c r="E542" s="71"/>
      <c r="F542" s="70"/>
      <c r="G542" s="73"/>
      <c r="H542" s="74"/>
      <c r="I542" s="73"/>
    </row>
    <row r="543" spans="1:9" x14ac:dyDescent="0.3">
      <c r="A543" s="27"/>
      <c r="B543" s="76"/>
      <c r="C543" s="27"/>
      <c r="D543" s="70"/>
      <c r="E543" s="71"/>
      <c r="F543" s="70"/>
      <c r="G543" s="73"/>
      <c r="H543" s="74"/>
      <c r="I543" s="73"/>
    </row>
    <row r="544" spans="1:9" x14ac:dyDescent="0.3">
      <c r="A544" s="27"/>
      <c r="B544" s="76"/>
      <c r="C544" s="27"/>
      <c r="D544" s="70"/>
      <c r="E544" s="71"/>
      <c r="F544" s="70"/>
      <c r="G544" s="73"/>
      <c r="H544" s="74"/>
      <c r="I544" s="73"/>
    </row>
    <row r="545" spans="1:9" x14ac:dyDescent="0.3">
      <c r="A545" s="27"/>
      <c r="B545" s="76"/>
      <c r="C545" s="27"/>
      <c r="D545" s="70"/>
      <c r="E545" s="71"/>
      <c r="F545" s="70"/>
      <c r="G545" s="73"/>
      <c r="H545" s="74"/>
      <c r="I545" s="73"/>
    </row>
    <row r="546" spans="1:9" x14ac:dyDescent="0.3">
      <c r="A546" s="27"/>
      <c r="B546" s="76"/>
      <c r="C546" s="27"/>
      <c r="D546" s="70"/>
      <c r="E546" s="71"/>
      <c r="F546" s="70"/>
      <c r="G546" s="73"/>
      <c r="H546" s="74"/>
      <c r="I546" s="73"/>
    </row>
    <row r="547" spans="1:9" x14ac:dyDescent="0.3">
      <c r="A547" s="27"/>
      <c r="B547" s="76"/>
      <c r="C547" s="27"/>
      <c r="D547" s="70"/>
      <c r="E547" s="71"/>
      <c r="F547" s="70"/>
      <c r="G547" s="73"/>
      <c r="H547" s="74"/>
      <c r="I547" s="73"/>
    </row>
    <row r="548" spans="1:9" x14ac:dyDescent="0.3">
      <c r="A548" s="27"/>
      <c r="B548" s="76"/>
      <c r="C548" s="27"/>
      <c r="D548" s="70"/>
      <c r="E548" s="71"/>
      <c r="F548" s="70"/>
      <c r="G548" s="73"/>
      <c r="H548" s="74"/>
      <c r="I548" s="73"/>
    </row>
    <row r="549" spans="1:9" x14ac:dyDescent="0.3">
      <c r="A549" s="27"/>
      <c r="B549" s="76"/>
      <c r="C549" s="27"/>
      <c r="D549" s="70"/>
      <c r="E549" s="71"/>
      <c r="F549" s="70"/>
      <c r="G549" s="73"/>
      <c r="H549" s="74"/>
      <c r="I549" s="73"/>
    </row>
    <row r="550" spans="1:9" x14ac:dyDescent="0.3">
      <c r="A550" s="27"/>
      <c r="B550" s="76"/>
      <c r="C550" s="27"/>
      <c r="D550" s="70"/>
      <c r="E550" s="71"/>
      <c r="F550" s="70"/>
      <c r="G550" s="73"/>
      <c r="H550" s="74"/>
      <c r="I550" s="73"/>
    </row>
    <row r="551" spans="1:9" x14ac:dyDescent="0.3">
      <c r="A551" s="27"/>
      <c r="B551" s="76"/>
      <c r="C551" s="27"/>
      <c r="D551" s="70"/>
      <c r="E551" s="71"/>
      <c r="F551" s="70"/>
      <c r="G551" s="73"/>
      <c r="H551" s="74"/>
      <c r="I551" s="73"/>
    </row>
    <row r="552" spans="1:9" x14ac:dyDescent="0.3">
      <c r="A552" s="27"/>
      <c r="B552" s="76"/>
      <c r="C552" s="27"/>
      <c r="D552" s="70"/>
      <c r="E552" s="71"/>
      <c r="F552" s="70"/>
      <c r="G552" s="73"/>
      <c r="H552" s="74"/>
      <c r="I552" s="73"/>
    </row>
    <row r="553" spans="1:9" x14ac:dyDescent="0.3">
      <c r="A553" s="27"/>
      <c r="B553" s="76"/>
      <c r="C553" s="27"/>
      <c r="D553" s="70"/>
      <c r="E553" s="71"/>
      <c r="F553" s="70"/>
      <c r="G553" s="73"/>
      <c r="H553" s="74"/>
      <c r="I553" s="73"/>
    </row>
    <row r="554" spans="1:9" x14ac:dyDescent="0.3">
      <c r="A554" s="27"/>
      <c r="B554" s="76"/>
      <c r="C554" s="27"/>
      <c r="D554" s="70"/>
      <c r="E554" s="71"/>
      <c r="F554" s="70"/>
      <c r="G554" s="73"/>
      <c r="H554" s="74"/>
      <c r="I554" s="73"/>
    </row>
    <row r="555" spans="1:9" x14ac:dyDescent="0.3">
      <c r="A555" s="27"/>
      <c r="B555" s="76"/>
      <c r="C555" s="27"/>
      <c r="D555" s="70"/>
      <c r="E555" s="71"/>
      <c r="F555" s="70"/>
      <c r="G555" s="73"/>
      <c r="H555" s="74"/>
      <c r="I555" s="73"/>
    </row>
    <row r="556" spans="1:9" x14ac:dyDescent="0.3">
      <c r="A556" s="27"/>
      <c r="B556" s="76"/>
      <c r="C556" s="27"/>
      <c r="D556" s="70"/>
      <c r="E556" s="71"/>
      <c r="F556" s="70"/>
      <c r="G556" s="73"/>
      <c r="H556" s="74"/>
      <c r="I556" s="73"/>
    </row>
    <row r="557" spans="1:9" x14ac:dyDescent="0.3">
      <c r="A557" s="27"/>
      <c r="B557" s="76"/>
      <c r="C557" s="27"/>
      <c r="D557" s="70"/>
      <c r="E557" s="71"/>
      <c r="F557" s="70"/>
      <c r="G557" s="73"/>
      <c r="H557" s="74"/>
      <c r="I557" s="73"/>
    </row>
    <row r="558" spans="1:9" x14ac:dyDescent="0.3">
      <c r="A558" s="27"/>
      <c r="B558" s="76"/>
      <c r="C558" s="27"/>
      <c r="D558" s="70"/>
      <c r="E558" s="71"/>
      <c r="F558" s="70"/>
      <c r="G558" s="73"/>
      <c r="H558" s="74"/>
      <c r="I558" s="73"/>
    </row>
    <row r="559" spans="1:9" x14ac:dyDescent="0.3">
      <c r="A559" s="27"/>
      <c r="B559" s="76"/>
      <c r="C559" s="27"/>
      <c r="D559" s="70"/>
      <c r="E559" s="71"/>
      <c r="F559" s="70"/>
      <c r="G559" s="73"/>
      <c r="H559" s="74"/>
      <c r="I559" s="73"/>
    </row>
    <row r="560" spans="1:9" x14ac:dyDescent="0.3">
      <c r="A560" s="27"/>
      <c r="B560" s="76"/>
      <c r="C560" s="27"/>
      <c r="D560" s="70"/>
      <c r="E560" s="71"/>
      <c r="F560" s="70"/>
      <c r="G560" s="73"/>
      <c r="H560" s="74"/>
      <c r="I560" s="73"/>
    </row>
    <row r="561" spans="1:9" x14ac:dyDescent="0.3">
      <c r="A561" s="27"/>
      <c r="B561" s="76"/>
      <c r="C561" s="27"/>
      <c r="D561" s="70"/>
      <c r="E561" s="71"/>
      <c r="F561" s="70"/>
      <c r="G561" s="73"/>
      <c r="H561" s="74"/>
      <c r="I561" s="73"/>
    </row>
    <row r="562" spans="1:9" x14ac:dyDescent="0.3">
      <c r="A562" s="27"/>
      <c r="B562" s="76"/>
      <c r="C562" s="27"/>
      <c r="D562" s="70"/>
      <c r="E562" s="71"/>
      <c r="F562" s="70"/>
      <c r="G562" s="73"/>
      <c r="H562" s="74"/>
      <c r="I562" s="73"/>
    </row>
    <row r="563" spans="1:9" x14ac:dyDescent="0.3">
      <c r="A563" s="27"/>
      <c r="B563" s="76"/>
      <c r="C563" s="27"/>
      <c r="D563" s="70"/>
      <c r="E563" s="71"/>
      <c r="F563" s="70"/>
      <c r="G563" s="73"/>
      <c r="H563" s="74"/>
      <c r="I563" s="73"/>
    </row>
    <row r="564" spans="1:9" x14ac:dyDescent="0.3">
      <c r="A564" s="27"/>
      <c r="B564" s="76"/>
      <c r="C564" s="27"/>
      <c r="D564" s="70"/>
      <c r="E564" s="71"/>
      <c r="F564" s="70"/>
      <c r="G564" s="73"/>
      <c r="H564" s="74"/>
      <c r="I564" s="73"/>
    </row>
    <row r="565" spans="1:9" x14ac:dyDescent="0.3">
      <c r="A565" s="27"/>
      <c r="B565" s="76"/>
      <c r="C565" s="27"/>
      <c r="D565" s="70"/>
      <c r="E565" s="71"/>
      <c r="F565" s="70"/>
      <c r="G565" s="73"/>
      <c r="H565" s="74"/>
      <c r="I565" s="73"/>
    </row>
    <row r="566" spans="1:9" x14ac:dyDescent="0.3">
      <c r="A566" s="27"/>
      <c r="B566" s="76"/>
      <c r="C566" s="27"/>
      <c r="D566" s="70"/>
      <c r="E566" s="71"/>
      <c r="F566" s="70"/>
      <c r="G566" s="73"/>
      <c r="H566" s="74"/>
      <c r="I566" s="73"/>
    </row>
    <row r="567" spans="1:9" x14ac:dyDescent="0.3">
      <c r="A567" s="27"/>
      <c r="B567" s="76"/>
      <c r="C567" s="27"/>
      <c r="D567" s="70"/>
      <c r="E567" s="71"/>
      <c r="F567" s="70"/>
      <c r="G567" s="73"/>
      <c r="H567" s="74"/>
      <c r="I567" s="73"/>
    </row>
    <row r="568" spans="1:9" x14ac:dyDescent="0.3">
      <c r="A568" s="27"/>
      <c r="B568" s="76"/>
      <c r="C568" s="27"/>
      <c r="D568" s="70"/>
      <c r="E568" s="71"/>
      <c r="F568" s="70"/>
      <c r="G568" s="73"/>
      <c r="H568" s="74"/>
      <c r="I568" s="73"/>
    </row>
    <row r="569" spans="1:9" x14ac:dyDescent="0.3">
      <c r="A569" s="27"/>
      <c r="B569" s="76"/>
      <c r="C569" s="27"/>
      <c r="D569" s="70"/>
      <c r="E569" s="71"/>
      <c r="F569" s="70"/>
      <c r="G569" s="73"/>
      <c r="H569" s="74"/>
      <c r="I569" s="73"/>
    </row>
    <row r="570" spans="1:9" x14ac:dyDescent="0.3">
      <c r="A570" s="27"/>
      <c r="B570" s="76"/>
      <c r="C570" s="27"/>
      <c r="D570" s="70"/>
      <c r="E570" s="71"/>
      <c r="F570" s="70"/>
      <c r="G570" s="73"/>
      <c r="H570" s="74"/>
      <c r="I570" s="73"/>
    </row>
    <row r="571" spans="1:9" x14ac:dyDescent="0.3">
      <c r="A571" s="27"/>
      <c r="B571" s="76"/>
      <c r="C571" s="27"/>
      <c r="D571" s="70"/>
      <c r="E571" s="71"/>
      <c r="F571" s="70"/>
      <c r="G571" s="73"/>
      <c r="H571" s="74"/>
      <c r="I571" s="73"/>
    </row>
    <row r="572" spans="1:9" x14ac:dyDescent="0.3">
      <c r="A572" s="27"/>
      <c r="B572" s="76"/>
      <c r="C572" s="27"/>
      <c r="D572" s="70"/>
      <c r="E572" s="71"/>
      <c r="F572" s="70"/>
      <c r="G572" s="73"/>
      <c r="H572" s="74"/>
      <c r="I572" s="73"/>
    </row>
    <row r="573" spans="1:9" x14ac:dyDescent="0.3">
      <c r="A573" s="27"/>
      <c r="B573" s="76"/>
      <c r="C573" s="27"/>
      <c r="D573" s="70"/>
      <c r="E573" s="71"/>
      <c r="F573" s="70"/>
      <c r="G573" s="73"/>
      <c r="H573" s="74"/>
      <c r="I573" s="73"/>
    </row>
    <row r="574" spans="1:9" x14ac:dyDescent="0.3">
      <c r="A574" s="27"/>
      <c r="B574" s="76"/>
      <c r="C574" s="27"/>
      <c r="D574" s="70"/>
      <c r="E574" s="71"/>
      <c r="F574" s="70"/>
      <c r="G574" s="73"/>
      <c r="H574" s="74"/>
      <c r="I574" s="73"/>
    </row>
    <row r="575" spans="1:9" x14ac:dyDescent="0.3">
      <c r="A575" s="27"/>
      <c r="B575" s="76"/>
      <c r="C575" s="27"/>
      <c r="D575" s="70"/>
      <c r="E575" s="71"/>
      <c r="F575" s="70"/>
      <c r="G575" s="73"/>
      <c r="H575" s="74"/>
      <c r="I575" s="73"/>
    </row>
    <row r="576" spans="1:9" x14ac:dyDescent="0.3">
      <c r="A576" s="27"/>
      <c r="B576" s="76"/>
      <c r="C576" s="27"/>
      <c r="D576" s="70"/>
      <c r="E576" s="71"/>
      <c r="F576" s="70"/>
      <c r="G576" s="73"/>
      <c r="H576" s="74"/>
      <c r="I576" s="73"/>
    </row>
    <row r="577" spans="1:9" x14ac:dyDescent="0.3">
      <c r="A577" s="27"/>
      <c r="B577" s="76"/>
      <c r="C577" s="27"/>
      <c r="D577" s="70"/>
      <c r="E577" s="71"/>
      <c r="F577" s="70"/>
      <c r="G577" s="73"/>
      <c r="H577" s="74"/>
      <c r="I577" s="73"/>
    </row>
    <row r="578" spans="1:9" x14ac:dyDescent="0.3">
      <c r="A578" s="27"/>
      <c r="B578" s="76"/>
      <c r="C578" s="27"/>
      <c r="D578" s="70"/>
      <c r="E578" s="71"/>
      <c r="F578" s="70"/>
      <c r="G578" s="73"/>
      <c r="H578" s="74"/>
      <c r="I578" s="73"/>
    </row>
    <row r="579" spans="1:9" x14ac:dyDescent="0.3">
      <c r="A579" s="27"/>
      <c r="B579" s="76"/>
      <c r="C579" s="27"/>
      <c r="D579" s="70"/>
      <c r="E579" s="71"/>
      <c r="F579" s="70"/>
      <c r="G579" s="73"/>
      <c r="H579" s="74"/>
      <c r="I579" s="73"/>
    </row>
    <row r="580" spans="1:9" x14ac:dyDescent="0.3">
      <c r="A580" s="27"/>
      <c r="B580" s="76"/>
      <c r="C580" s="27"/>
      <c r="D580" s="70"/>
      <c r="E580" s="71"/>
      <c r="F580" s="70"/>
      <c r="G580" s="73"/>
      <c r="H580" s="74"/>
      <c r="I580" s="73"/>
    </row>
    <row r="581" spans="1:9" x14ac:dyDescent="0.3">
      <c r="A581" s="27"/>
      <c r="B581" s="76"/>
      <c r="C581" s="27"/>
      <c r="D581" s="70"/>
      <c r="E581" s="71"/>
      <c r="F581" s="70"/>
      <c r="G581" s="73"/>
      <c r="H581" s="74"/>
      <c r="I581" s="73"/>
    </row>
    <row r="582" spans="1:9" x14ac:dyDescent="0.3">
      <c r="A582" s="27"/>
      <c r="B582" s="76"/>
      <c r="C582" s="27"/>
      <c r="D582" s="70"/>
      <c r="E582" s="71"/>
      <c r="F582" s="70"/>
      <c r="G582" s="73"/>
      <c r="H582" s="74"/>
      <c r="I582" s="73"/>
    </row>
    <row r="583" spans="1:9" x14ac:dyDescent="0.3">
      <c r="A583" s="27"/>
      <c r="B583" s="76"/>
      <c r="C583" s="27"/>
      <c r="D583" s="70"/>
      <c r="E583" s="71"/>
      <c r="F583" s="70"/>
      <c r="G583" s="73"/>
      <c r="H583" s="74"/>
      <c r="I583" s="73"/>
    </row>
    <row r="584" spans="1:9" x14ac:dyDescent="0.3">
      <c r="A584" s="27"/>
      <c r="B584" s="76"/>
      <c r="C584" s="27"/>
      <c r="D584" s="70"/>
      <c r="E584" s="71"/>
      <c r="F584" s="70"/>
      <c r="G584" s="73"/>
      <c r="H584" s="74"/>
      <c r="I584" s="73"/>
    </row>
    <row r="585" spans="1:9" x14ac:dyDescent="0.3">
      <c r="A585" s="27"/>
      <c r="B585" s="76"/>
      <c r="C585" s="27"/>
      <c r="D585" s="70"/>
      <c r="E585" s="71"/>
      <c r="F585" s="70"/>
      <c r="G585" s="73"/>
      <c r="H585" s="74"/>
      <c r="I585" s="73"/>
    </row>
    <row r="586" spans="1:9" x14ac:dyDescent="0.3">
      <c r="A586" s="27"/>
      <c r="B586" s="76"/>
      <c r="C586" s="27"/>
      <c r="D586" s="70"/>
      <c r="E586" s="71"/>
      <c r="F586" s="70"/>
      <c r="G586" s="73"/>
      <c r="H586" s="74"/>
      <c r="I586" s="73"/>
    </row>
    <row r="587" spans="1:9" x14ac:dyDescent="0.3">
      <c r="A587" s="27"/>
      <c r="B587" s="76"/>
      <c r="C587" s="27"/>
      <c r="D587" s="70"/>
      <c r="E587" s="71"/>
      <c r="F587" s="70"/>
      <c r="G587" s="73"/>
      <c r="H587" s="74"/>
      <c r="I587" s="73"/>
    </row>
    <row r="588" spans="1:9" x14ac:dyDescent="0.3">
      <c r="A588" s="27"/>
      <c r="B588" s="76"/>
      <c r="C588" s="27"/>
      <c r="D588" s="70"/>
      <c r="E588" s="71"/>
      <c r="F588" s="70"/>
      <c r="G588" s="73"/>
      <c r="H588" s="74"/>
      <c r="I588" s="73"/>
    </row>
    <row r="589" spans="1:9" x14ac:dyDescent="0.3">
      <c r="A589" s="27"/>
      <c r="B589" s="76"/>
      <c r="C589" s="27"/>
      <c r="D589" s="70"/>
      <c r="E589" s="71"/>
      <c r="F589" s="70"/>
      <c r="G589" s="73"/>
      <c r="H589" s="74"/>
      <c r="I589" s="73"/>
    </row>
    <row r="590" spans="1:9" x14ac:dyDescent="0.3">
      <c r="A590" s="27"/>
      <c r="B590" s="76"/>
      <c r="C590" s="27"/>
      <c r="D590" s="70"/>
      <c r="E590" s="71"/>
      <c r="F590" s="70"/>
      <c r="G590" s="73"/>
      <c r="H590" s="74"/>
      <c r="I590" s="73"/>
    </row>
    <row r="591" spans="1:9" x14ac:dyDescent="0.3">
      <c r="A591" s="27"/>
      <c r="B591" s="76"/>
      <c r="C591" s="27"/>
      <c r="D591" s="70"/>
      <c r="E591" s="71"/>
      <c r="F591" s="70"/>
      <c r="G591" s="73"/>
      <c r="H591" s="74"/>
      <c r="I591" s="73"/>
    </row>
    <row r="592" spans="1:9" x14ac:dyDescent="0.3">
      <c r="A592" s="27"/>
      <c r="B592" s="76"/>
      <c r="C592" s="27"/>
      <c r="D592" s="70"/>
      <c r="E592" s="71"/>
      <c r="F592" s="70"/>
      <c r="G592" s="73"/>
      <c r="H592" s="74"/>
      <c r="I592" s="73"/>
    </row>
    <row r="593" spans="1:9" x14ac:dyDescent="0.3">
      <c r="A593" s="27"/>
      <c r="B593" s="76"/>
      <c r="C593" s="27"/>
      <c r="D593" s="70"/>
      <c r="E593" s="71"/>
      <c r="F593" s="70"/>
      <c r="G593" s="73"/>
      <c r="H593" s="74"/>
      <c r="I593" s="73"/>
    </row>
    <row r="594" spans="1:9" x14ac:dyDescent="0.3">
      <c r="A594" s="27"/>
      <c r="B594" s="76"/>
      <c r="C594" s="27"/>
      <c r="D594" s="70"/>
      <c r="E594" s="71"/>
      <c r="F594" s="70"/>
      <c r="G594" s="73"/>
      <c r="H594" s="74"/>
      <c r="I594" s="73"/>
    </row>
    <row r="595" spans="1:9" x14ac:dyDescent="0.3">
      <c r="A595" s="27"/>
      <c r="B595" s="76"/>
      <c r="C595" s="27"/>
      <c r="D595" s="70"/>
      <c r="E595" s="71"/>
      <c r="F595" s="70"/>
      <c r="G595" s="73"/>
      <c r="H595" s="74"/>
      <c r="I595" s="73"/>
    </row>
    <row r="596" spans="1:9" x14ac:dyDescent="0.3">
      <c r="A596" s="27"/>
      <c r="B596" s="76"/>
      <c r="C596" s="27"/>
      <c r="D596" s="70"/>
      <c r="E596" s="71"/>
      <c r="F596" s="70"/>
      <c r="G596" s="73"/>
      <c r="H596" s="74"/>
      <c r="I596" s="73"/>
    </row>
    <row r="597" spans="1:9" x14ac:dyDescent="0.3">
      <c r="A597" s="27"/>
      <c r="B597" s="76"/>
      <c r="C597" s="27"/>
      <c r="D597" s="70"/>
      <c r="E597" s="71"/>
      <c r="F597" s="70"/>
      <c r="G597" s="73"/>
      <c r="H597" s="74"/>
      <c r="I597" s="73"/>
    </row>
    <row r="598" spans="1:9" x14ac:dyDescent="0.3">
      <c r="A598" s="27"/>
      <c r="B598" s="76"/>
      <c r="C598" s="27"/>
      <c r="D598" s="70"/>
      <c r="E598" s="71"/>
      <c r="F598" s="70"/>
      <c r="G598" s="73"/>
      <c r="H598" s="74"/>
      <c r="I598" s="73"/>
    </row>
    <row r="599" spans="1:9" x14ac:dyDescent="0.3">
      <c r="A599" s="27"/>
      <c r="B599" s="76"/>
      <c r="C599" s="27"/>
      <c r="D599" s="70"/>
      <c r="E599" s="71"/>
      <c r="F599" s="70"/>
      <c r="G599" s="73"/>
      <c r="H599" s="74"/>
      <c r="I599" s="73"/>
    </row>
    <row r="600" spans="1:9" x14ac:dyDescent="0.3">
      <c r="A600" s="27"/>
      <c r="B600" s="76"/>
      <c r="C600" s="27"/>
      <c r="D600" s="70"/>
      <c r="E600" s="71"/>
      <c r="F600" s="70"/>
      <c r="G600" s="73"/>
      <c r="H600" s="74"/>
      <c r="I600" s="73"/>
    </row>
    <row r="601" spans="1:9" x14ac:dyDescent="0.3">
      <c r="A601" s="27"/>
      <c r="B601" s="76"/>
      <c r="C601" s="27"/>
      <c r="D601" s="70"/>
      <c r="E601" s="71"/>
      <c r="F601" s="70"/>
      <c r="G601" s="73"/>
      <c r="H601" s="74"/>
      <c r="I601" s="73"/>
    </row>
    <row r="602" spans="1:9" x14ac:dyDescent="0.3">
      <c r="A602" s="27"/>
      <c r="B602" s="76"/>
      <c r="C602" s="27"/>
      <c r="D602" s="70"/>
      <c r="E602" s="71"/>
      <c r="F602" s="70"/>
      <c r="G602" s="73"/>
      <c r="H602" s="74"/>
      <c r="I602" s="73"/>
    </row>
    <row r="603" spans="1:9" x14ac:dyDescent="0.3">
      <c r="A603" s="27"/>
      <c r="B603" s="76"/>
      <c r="C603" s="27"/>
      <c r="D603" s="70"/>
      <c r="E603" s="71"/>
      <c r="F603" s="70"/>
      <c r="G603" s="73"/>
      <c r="H603" s="74"/>
      <c r="I603" s="73"/>
    </row>
    <row r="604" spans="1:9" x14ac:dyDescent="0.3">
      <c r="A604" s="27"/>
      <c r="B604" s="76"/>
      <c r="C604" s="27"/>
      <c r="D604" s="70"/>
      <c r="E604" s="71"/>
      <c r="F604" s="70"/>
      <c r="G604" s="73"/>
      <c r="H604" s="74"/>
      <c r="I604" s="73"/>
    </row>
    <row r="605" spans="1:9" x14ac:dyDescent="0.3">
      <c r="A605" s="27"/>
      <c r="B605" s="76"/>
      <c r="C605" s="27"/>
      <c r="D605" s="70"/>
      <c r="E605" s="71"/>
      <c r="F605" s="70"/>
      <c r="G605" s="73"/>
      <c r="H605" s="74"/>
      <c r="I605" s="73"/>
    </row>
    <row r="606" spans="1:9" x14ac:dyDescent="0.3">
      <c r="A606" s="27"/>
      <c r="B606" s="76"/>
      <c r="C606" s="27"/>
      <c r="D606" s="70"/>
      <c r="E606" s="71"/>
      <c r="F606" s="70"/>
      <c r="G606" s="73"/>
      <c r="H606" s="74"/>
      <c r="I606" s="73"/>
    </row>
    <row r="607" spans="1:9" x14ac:dyDescent="0.3">
      <c r="A607" s="27"/>
      <c r="B607" s="76"/>
      <c r="C607" s="27"/>
      <c r="D607" s="70"/>
      <c r="E607" s="71"/>
      <c r="F607" s="70"/>
      <c r="G607" s="73"/>
      <c r="H607" s="74"/>
      <c r="I607" s="73"/>
    </row>
    <row r="608" spans="1:9" x14ac:dyDescent="0.3">
      <c r="A608" s="27"/>
      <c r="B608" s="76"/>
      <c r="C608" s="27"/>
      <c r="D608" s="70"/>
      <c r="E608" s="71"/>
      <c r="F608" s="70"/>
      <c r="G608" s="73"/>
      <c r="H608" s="74"/>
      <c r="I608" s="73"/>
    </row>
    <row r="609" spans="1:9" x14ac:dyDescent="0.3">
      <c r="A609" s="27"/>
      <c r="B609" s="76"/>
      <c r="C609" s="27"/>
      <c r="D609" s="70"/>
      <c r="E609" s="71"/>
      <c r="F609" s="70"/>
      <c r="G609" s="73"/>
      <c r="H609" s="74"/>
      <c r="I609" s="73"/>
    </row>
    <row r="610" spans="1:9" x14ac:dyDescent="0.3">
      <c r="A610" s="27"/>
      <c r="B610" s="76"/>
      <c r="C610" s="27"/>
      <c r="D610" s="70"/>
      <c r="E610" s="71"/>
      <c r="F610" s="70"/>
      <c r="G610" s="73"/>
      <c r="H610" s="74"/>
      <c r="I610" s="73"/>
    </row>
    <row r="611" spans="1:9" x14ac:dyDescent="0.3">
      <c r="A611" s="27"/>
      <c r="B611" s="76"/>
      <c r="C611" s="27"/>
      <c r="D611" s="70"/>
      <c r="E611" s="71"/>
      <c r="F611" s="70"/>
      <c r="G611" s="73"/>
      <c r="H611" s="74"/>
      <c r="I611" s="73"/>
    </row>
    <row r="612" spans="1:9" x14ac:dyDescent="0.3">
      <c r="A612" s="27"/>
      <c r="B612" s="76"/>
      <c r="C612" s="27"/>
      <c r="D612" s="70"/>
      <c r="E612" s="71"/>
      <c r="F612" s="70"/>
      <c r="G612" s="73"/>
      <c r="H612" s="74"/>
      <c r="I612" s="73"/>
    </row>
    <row r="613" spans="1:9" x14ac:dyDescent="0.3">
      <c r="A613" s="27"/>
      <c r="B613" s="76"/>
      <c r="C613" s="27"/>
      <c r="D613" s="70"/>
      <c r="E613" s="71"/>
      <c r="F613" s="70"/>
      <c r="G613" s="73"/>
      <c r="H613" s="74"/>
      <c r="I613" s="73"/>
    </row>
    <row r="614" spans="1:9" x14ac:dyDescent="0.3">
      <c r="A614" s="27"/>
      <c r="B614" s="76"/>
      <c r="C614" s="27"/>
      <c r="D614" s="70"/>
      <c r="E614" s="71"/>
      <c r="F614" s="70"/>
      <c r="G614" s="73"/>
      <c r="H614" s="74"/>
      <c r="I614" s="73"/>
    </row>
    <row r="615" spans="1:9" x14ac:dyDescent="0.3">
      <c r="A615" s="27"/>
      <c r="B615" s="76"/>
      <c r="C615" s="27"/>
      <c r="D615" s="70"/>
      <c r="E615" s="71"/>
      <c r="F615" s="70"/>
      <c r="G615" s="73"/>
      <c r="H615" s="74"/>
      <c r="I615" s="73"/>
    </row>
    <row r="616" spans="1:9" x14ac:dyDescent="0.3">
      <c r="A616" s="27"/>
      <c r="B616" s="76"/>
      <c r="C616" s="27"/>
      <c r="D616" s="70"/>
      <c r="E616" s="71"/>
      <c r="F616" s="70"/>
      <c r="G616" s="73"/>
      <c r="H616" s="74"/>
      <c r="I616" s="73"/>
    </row>
    <row r="617" spans="1:9" x14ac:dyDescent="0.3">
      <c r="A617" s="27"/>
      <c r="B617" s="76"/>
      <c r="C617" s="27"/>
      <c r="D617" s="70"/>
      <c r="E617" s="71"/>
      <c r="F617" s="70"/>
      <c r="G617" s="73"/>
      <c r="H617" s="74"/>
      <c r="I617" s="73"/>
    </row>
    <row r="618" spans="1:9" x14ac:dyDescent="0.3">
      <c r="A618" s="27"/>
      <c r="B618" s="76"/>
      <c r="C618" s="27"/>
      <c r="D618" s="70"/>
      <c r="E618" s="71"/>
      <c r="F618" s="70"/>
      <c r="G618" s="73"/>
      <c r="H618" s="74"/>
      <c r="I618" s="73"/>
    </row>
    <row r="619" spans="1:9" x14ac:dyDescent="0.3">
      <c r="A619" s="27"/>
      <c r="B619" s="76"/>
      <c r="C619" s="27"/>
      <c r="D619" s="70"/>
      <c r="E619" s="71"/>
      <c r="F619" s="70"/>
      <c r="G619" s="73"/>
      <c r="H619" s="74"/>
      <c r="I619" s="73"/>
    </row>
    <row r="620" spans="1:9" x14ac:dyDescent="0.3">
      <c r="A620" s="27"/>
      <c r="B620" s="76"/>
      <c r="C620" s="27"/>
      <c r="D620" s="70"/>
      <c r="E620" s="71"/>
      <c r="F620" s="70"/>
      <c r="G620" s="73"/>
      <c r="H620" s="74"/>
      <c r="I620" s="73"/>
    </row>
    <row r="621" spans="1:9" x14ac:dyDescent="0.3">
      <c r="A621" s="27"/>
      <c r="B621" s="76"/>
      <c r="C621" s="27"/>
      <c r="D621" s="70"/>
      <c r="E621" s="71"/>
      <c r="F621" s="70"/>
      <c r="G621" s="73"/>
      <c r="H621" s="74"/>
      <c r="I621" s="73"/>
    </row>
    <row r="622" spans="1:9" x14ac:dyDescent="0.3">
      <c r="A622" s="27"/>
      <c r="B622" s="76"/>
      <c r="C622" s="27"/>
      <c r="D622" s="70"/>
      <c r="E622" s="71"/>
      <c r="F622" s="70"/>
      <c r="G622" s="73"/>
      <c r="H622" s="74"/>
      <c r="I622" s="73"/>
    </row>
    <row r="623" spans="1:9" x14ac:dyDescent="0.3">
      <c r="A623" s="27"/>
      <c r="B623" s="76"/>
      <c r="C623" s="27"/>
      <c r="D623" s="70"/>
      <c r="E623" s="71"/>
      <c r="F623" s="70"/>
      <c r="G623" s="73"/>
      <c r="H623" s="74"/>
      <c r="I623" s="73"/>
    </row>
    <row r="624" spans="1:9" x14ac:dyDescent="0.3">
      <c r="A624" s="27"/>
      <c r="B624" s="76"/>
      <c r="C624" s="27"/>
      <c r="D624" s="70"/>
      <c r="E624" s="71"/>
      <c r="F624" s="70"/>
      <c r="G624" s="73"/>
      <c r="H624" s="74"/>
      <c r="I624" s="73"/>
    </row>
    <row r="625" spans="1:9" x14ac:dyDescent="0.3">
      <c r="A625" s="27"/>
      <c r="B625" s="76"/>
      <c r="C625" s="27"/>
      <c r="D625" s="70"/>
      <c r="E625" s="71"/>
      <c r="F625" s="70"/>
      <c r="G625" s="73"/>
      <c r="H625" s="74"/>
      <c r="I625" s="73"/>
    </row>
    <row r="626" spans="1:9" x14ac:dyDescent="0.3">
      <c r="A626" s="27"/>
      <c r="B626" s="76"/>
      <c r="C626" s="27"/>
      <c r="D626" s="70"/>
      <c r="E626" s="71"/>
      <c r="F626" s="70"/>
      <c r="G626" s="73"/>
      <c r="H626" s="74"/>
      <c r="I626" s="73"/>
    </row>
    <row r="627" spans="1:9" x14ac:dyDescent="0.3">
      <c r="A627" s="27"/>
      <c r="B627" s="76"/>
      <c r="C627" s="27"/>
      <c r="D627" s="70"/>
      <c r="E627" s="71"/>
      <c r="F627" s="70"/>
      <c r="G627" s="73"/>
      <c r="H627" s="74"/>
      <c r="I627" s="73"/>
    </row>
    <row r="628" spans="1:9" x14ac:dyDescent="0.3">
      <c r="A628" s="27"/>
      <c r="B628" s="76"/>
      <c r="C628" s="27"/>
      <c r="D628" s="70"/>
      <c r="E628" s="71"/>
      <c r="F628" s="70"/>
      <c r="G628" s="73"/>
      <c r="H628" s="74"/>
      <c r="I628" s="73"/>
    </row>
    <row r="629" spans="1:9" x14ac:dyDescent="0.3">
      <c r="A629" s="27"/>
      <c r="B629" s="76"/>
      <c r="C629" s="27"/>
      <c r="D629" s="70"/>
      <c r="E629" s="71"/>
      <c r="F629" s="70"/>
      <c r="G629" s="73"/>
      <c r="H629" s="74"/>
      <c r="I629" s="73"/>
    </row>
    <row r="630" spans="1:9" x14ac:dyDescent="0.3">
      <c r="A630" s="27"/>
      <c r="B630" s="76"/>
      <c r="C630" s="27"/>
      <c r="D630" s="70"/>
      <c r="E630" s="71"/>
      <c r="F630" s="70"/>
      <c r="G630" s="73"/>
      <c r="H630" s="74"/>
      <c r="I630" s="73"/>
    </row>
    <row r="631" spans="1:9" x14ac:dyDescent="0.3">
      <c r="A631" s="27"/>
      <c r="B631" s="76"/>
      <c r="C631" s="27"/>
      <c r="D631" s="70"/>
      <c r="E631" s="71"/>
      <c r="F631" s="70"/>
      <c r="G631" s="73"/>
      <c r="H631" s="74"/>
      <c r="I631" s="73"/>
    </row>
    <row r="632" spans="1:9" x14ac:dyDescent="0.3">
      <c r="A632" s="27"/>
      <c r="B632" s="76"/>
      <c r="C632" s="27"/>
      <c r="D632" s="70"/>
      <c r="E632" s="71"/>
      <c r="F632" s="70"/>
      <c r="G632" s="73"/>
      <c r="H632" s="74"/>
      <c r="I632" s="73"/>
    </row>
    <row r="633" spans="1:9" x14ac:dyDescent="0.3">
      <c r="A633" s="27"/>
      <c r="B633" s="76"/>
      <c r="C633" s="27"/>
      <c r="D633" s="70"/>
      <c r="E633" s="71"/>
      <c r="F633" s="70"/>
      <c r="G633" s="73"/>
      <c r="H633" s="74"/>
      <c r="I633" s="73"/>
    </row>
    <row r="634" spans="1:9" x14ac:dyDescent="0.3">
      <c r="A634" s="27"/>
      <c r="B634" s="76"/>
      <c r="C634" s="27"/>
      <c r="D634" s="70"/>
      <c r="E634" s="71"/>
      <c r="F634" s="70"/>
      <c r="G634" s="73"/>
      <c r="H634" s="74"/>
      <c r="I634" s="73"/>
    </row>
    <row r="635" spans="1:9" x14ac:dyDescent="0.3">
      <c r="A635" s="27"/>
      <c r="B635" s="76"/>
      <c r="C635" s="27"/>
      <c r="D635" s="70"/>
      <c r="E635" s="71"/>
      <c r="F635" s="70"/>
      <c r="G635" s="73"/>
      <c r="H635" s="74"/>
      <c r="I635" s="73"/>
    </row>
    <row r="636" spans="1:9" x14ac:dyDescent="0.3">
      <c r="A636" s="27"/>
      <c r="B636" s="76"/>
      <c r="C636" s="27"/>
      <c r="D636" s="70"/>
      <c r="E636" s="71"/>
      <c r="F636" s="70"/>
      <c r="G636" s="73"/>
      <c r="H636" s="74"/>
      <c r="I636" s="73"/>
    </row>
    <row r="637" spans="1:9" x14ac:dyDescent="0.3">
      <c r="A637" s="27"/>
      <c r="B637" s="76"/>
      <c r="C637" s="27"/>
      <c r="D637" s="70"/>
      <c r="E637" s="71"/>
      <c r="F637" s="70"/>
      <c r="G637" s="73"/>
      <c r="H637" s="74"/>
      <c r="I637" s="73"/>
    </row>
    <row r="638" spans="1:9" x14ac:dyDescent="0.3">
      <c r="A638" s="27"/>
      <c r="B638" s="76"/>
      <c r="C638" s="27"/>
      <c r="D638" s="70"/>
      <c r="E638" s="71"/>
      <c r="F638" s="70"/>
      <c r="G638" s="73"/>
      <c r="H638" s="74"/>
      <c r="I638" s="73"/>
    </row>
    <row r="639" spans="1:9" x14ac:dyDescent="0.3">
      <c r="A639" s="27"/>
      <c r="B639" s="76"/>
      <c r="C639" s="27"/>
      <c r="D639" s="70"/>
      <c r="E639" s="71"/>
      <c r="F639" s="70"/>
      <c r="G639" s="73"/>
      <c r="H639" s="74"/>
      <c r="I639" s="73"/>
    </row>
    <row r="640" spans="1:9" x14ac:dyDescent="0.3">
      <c r="A640" s="27"/>
      <c r="B640" s="76"/>
      <c r="C640" s="27"/>
      <c r="D640" s="70"/>
      <c r="E640" s="71"/>
      <c r="F640" s="70"/>
      <c r="G640" s="73"/>
      <c r="H640" s="74"/>
      <c r="I640" s="73"/>
    </row>
    <row r="641" spans="1:9" x14ac:dyDescent="0.3">
      <c r="A641" s="27"/>
      <c r="B641" s="76"/>
      <c r="C641" s="27"/>
      <c r="D641" s="70"/>
      <c r="E641" s="71"/>
      <c r="F641" s="70"/>
      <c r="G641" s="73"/>
      <c r="H641" s="74"/>
      <c r="I641" s="73"/>
    </row>
    <row r="642" spans="1:9" x14ac:dyDescent="0.3">
      <c r="A642" s="27"/>
      <c r="B642" s="76"/>
      <c r="C642" s="27"/>
      <c r="D642" s="70"/>
      <c r="E642" s="71"/>
      <c r="F642" s="70"/>
      <c r="G642" s="73"/>
      <c r="H642" s="74"/>
      <c r="I642" s="73"/>
    </row>
    <row r="643" spans="1:9" x14ac:dyDescent="0.3">
      <c r="A643" s="27"/>
      <c r="B643" s="76"/>
      <c r="C643" s="27"/>
      <c r="D643" s="70"/>
      <c r="E643" s="71"/>
      <c r="F643" s="70"/>
      <c r="G643" s="73"/>
      <c r="H643" s="74"/>
      <c r="I643" s="73"/>
    </row>
    <row r="644" spans="1:9" x14ac:dyDescent="0.3">
      <c r="A644" s="27"/>
      <c r="B644" s="76"/>
      <c r="C644" s="27"/>
      <c r="D644" s="70"/>
      <c r="E644" s="71"/>
      <c r="F644" s="70"/>
      <c r="G644" s="73"/>
      <c r="H644" s="74"/>
      <c r="I644" s="73"/>
    </row>
    <row r="645" spans="1:9" x14ac:dyDescent="0.3">
      <c r="A645" s="27"/>
      <c r="B645" s="76"/>
      <c r="C645" s="27"/>
      <c r="D645" s="70"/>
      <c r="E645" s="71"/>
      <c r="F645" s="70"/>
      <c r="G645" s="73"/>
      <c r="H645" s="74"/>
      <c r="I645" s="73"/>
    </row>
    <row r="646" spans="1:9" x14ac:dyDescent="0.3">
      <c r="A646" s="27"/>
      <c r="B646" s="76"/>
      <c r="C646" s="27"/>
      <c r="D646" s="70"/>
      <c r="E646" s="71"/>
      <c r="F646" s="70"/>
      <c r="G646" s="73"/>
      <c r="H646" s="74"/>
      <c r="I646" s="73"/>
    </row>
    <row r="647" spans="1:9" x14ac:dyDescent="0.3">
      <c r="A647" s="27"/>
      <c r="B647" s="76"/>
      <c r="C647" s="27"/>
      <c r="D647" s="70"/>
      <c r="E647" s="71"/>
      <c r="F647" s="70"/>
      <c r="G647" s="73"/>
      <c r="H647" s="74"/>
      <c r="I647" s="73"/>
    </row>
    <row r="648" spans="1:9" x14ac:dyDescent="0.3">
      <c r="A648" s="27"/>
      <c r="B648" s="76"/>
      <c r="C648" s="27"/>
      <c r="D648" s="70"/>
      <c r="E648" s="71"/>
      <c r="F648" s="70"/>
      <c r="G648" s="73"/>
      <c r="H648" s="74"/>
      <c r="I648" s="73"/>
    </row>
    <row r="649" spans="1:9" x14ac:dyDescent="0.3">
      <c r="A649" s="27"/>
      <c r="B649" s="76"/>
      <c r="C649" s="27"/>
      <c r="D649" s="70"/>
      <c r="E649" s="71"/>
      <c r="F649" s="70"/>
      <c r="G649" s="73"/>
      <c r="H649" s="74"/>
      <c r="I649" s="73"/>
    </row>
    <row r="650" spans="1:9" x14ac:dyDescent="0.3">
      <c r="A650" s="27"/>
      <c r="B650" s="76"/>
      <c r="C650" s="27"/>
      <c r="D650" s="70"/>
      <c r="E650" s="71"/>
      <c r="F650" s="70"/>
      <c r="G650" s="73"/>
      <c r="H650" s="74"/>
      <c r="I650" s="73"/>
    </row>
    <row r="651" spans="1:9" x14ac:dyDescent="0.3">
      <c r="A651" s="27"/>
      <c r="B651" s="76"/>
      <c r="C651" s="27"/>
      <c r="D651" s="70"/>
      <c r="E651" s="71"/>
      <c r="F651" s="70"/>
      <c r="G651" s="73"/>
      <c r="H651" s="74"/>
      <c r="I651" s="73"/>
    </row>
    <row r="652" spans="1:9" x14ac:dyDescent="0.3">
      <c r="A652" s="27"/>
      <c r="B652" s="76"/>
      <c r="C652" s="27"/>
      <c r="D652" s="70"/>
      <c r="E652" s="71"/>
      <c r="F652" s="70"/>
      <c r="G652" s="73"/>
      <c r="H652" s="74"/>
      <c r="I652" s="73"/>
    </row>
    <row r="653" spans="1:9" x14ac:dyDescent="0.3">
      <c r="A653" s="27"/>
      <c r="B653" s="76"/>
      <c r="C653" s="27"/>
      <c r="D653" s="70"/>
      <c r="E653" s="71"/>
      <c r="F653" s="70"/>
      <c r="G653" s="73"/>
      <c r="H653" s="74"/>
      <c r="I653" s="73"/>
    </row>
    <row r="654" spans="1:9" x14ac:dyDescent="0.3">
      <c r="A654" s="27"/>
      <c r="B654" s="76"/>
      <c r="C654" s="27"/>
      <c r="D654" s="70"/>
      <c r="E654" s="71"/>
      <c r="F654" s="70"/>
      <c r="G654" s="73"/>
      <c r="H654" s="74"/>
      <c r="I654" s="73"/>
    </row>
    <row r="655" spans="1:9" x14ac:dyDescent="0.3">
      <c r="A655" s="27"/>
      <c r="B655" s="76"/>
      <c r="C655" s="27"/>
      <c r="D655" s="70"/>
      <c r="E655" s="71"/>
      <c r="F655" s="70"/>
      <c r="G655" s="73"/>
      <c r="H655" s="74"/>
      <c r="I655" s="73"/>
    </row>
    <row r="656" spans="1:9" x14ac:dyDescent="0.3">
      <c r="A656" s="27"/>
      <c r="B656" s="76"/>
      <c r="C656" s="27"/>
      <c r="D656" s="70"/>
      <c r="E656" s="71"/>
      <c r="F656" s="70"/>
      <c r="G656" s="73"/>
      <c r="H656" s="74"/>
      <c r="I656" s="73"/>
    </row>
    <row r="657" spans="1:9" x14ac:dyDescent="0.3">
      <c r="A657" s="27"/>
      <c r="B657" s="76"/>
      <c r="C657" s="27"/>
      <c r="D657" s="70"/>
      <c r="E657" s="71"/>
      <c r="F657" s="70"/>
      <c r="G657" s="73"/>
      <c r="H657" s="74"/>
      <c r="I657" s="73"/>
    </row>
    <row r="658" spans="1:9" x14ac:dyDescent="0.3">
      <c r="A658" s="27"/>
      <c r="B658" s="76"/>
      <c r="C658" s="27"/>
      <c r="D658" s="70"/>
      <c r="E658" s="71"/>
      <c r="F658" s="70"/>
      <c r="G658" s="73"/>
      <c r="H658" s="74"/>
      <c r="I658" s="73"/>
    </row>
    <row r="659" spans="1:9" x14ac:dyDescent="0.3">
      <c r="A659" s="27"/>
      <c r="B659" s="76"/>
      <c r="C659" s="27"/>
      <c r="D659" s="70"/>
      <c r="E659" s="71"/>
      <c r="F659" s="70"/>
      <c r="G659" s="73"/>
      <c r="H659" s="74"/>
      <c r="I659" s="73"/>
    </row>
    <row r="660" spans="1:9" x14ac:dyDescent="0.3">
      <c r="A660" s="27"/>
      <c r="B660" s="76"/>
      <c r="C660" s="27"/>
      <c r="D660" s="70"/>
      <c r="E660" s="71"/>
      <c r="F660" s="70"/>
      <c r="G660" s="73"/>
      <c r="H660" s="74"/>
      <c r="I660" s="73"/>
    </row>
    <row r="661" spans="1:9" x14ac:dyDescent="0.3">
      <c r="A661" s="27"/>
      <c r="B661" s="76"/>
      <c r="C661" s="27"/>
      <c r="D661" s="70"/>
      <c r="E661" s="71"/>
      <c r="F661" s="70"/>
      <c r="G661" s="73"/>
      <c r="H661" s="74"/>
      <c r="I661" s="73"/>
    </row>
    <row r="662" spans="1:9" x14ac:dyDescent="0.3">
      <c r="A662" s="27"/>
      <c r="B662" s="76"/>
      <c r="C662" s="27"/>
      <c r="D662" s="70"/>
      <c r="E662" s="71"/>
      <c r="F662" s="70"/>
      <c r="G662" s="73"/>
      <c r="H662" s="74"/>
      <c r="I662" s="73"/>
    </row>
    <row r="663" spans="1:9" x14ac:dyDescent="0.3">
      <c r="A663" s="27"/>
      <c r="B663" s="76"/>
      <c r="C663" s="27"/>
      <c r="D663" s="70"/>
      <c r="E663" s="71"/>
      <c r="F663" s="70"/>
      <c r="G663" s="73"/>
      <c r="H663" s="74"/>
      <c r="I663" s="73"/>
    </row>
    <row r="664" spans="1:9" x14ac:dyDescent="0.3">
      <c r="A664" s="27"/>
      <c r="B664" s="76"/>
      <c r="C664" s="27"/>
      <c r="D664" s="70"/>
      <c r="E664" s="71"/>
      <c r="F664" s="70"/>
      <c r="G664" s="73"/>
      <c r="H664" s="74"/>
      <c r="I664" s="73"/>
    </row>
    <row r="665" spans="1:9" x14ac:dyDescent="0.3">
      <c r="A665" s="27"/>
      <c r="B665" s="76"/>
      <c r="C665" s="27"/>
      <c r="D665" s="70"/>
      <c r="E665" s="71"/>
      <c r="F665" s="70"/>
      <c r="G665" s="73"/>
      <c r="H665" s="74"/>
      <c r="I665" s="73"/>
    </row>
    <row r="666" spans="1:9" x14ac:dyDescent="0.3">
      <c r="A666" s="27"/>
      <c r="B666" s="76"/>
      <c r="C666" s="27"/>
      <c r="D666" s="70"/>
      <c r="E666" s="71"/>
      <c r="F666" s="70"/>
      <c r="G666" s="73"/>
      <c r="H666" s="74"/>
      <c r="I666" s="73"/>
    </row>
    <row r="667" spans="1:9" x14ac:dyDescent="0.3">
      <c r="A667" s="27"/>
      <c r="B667" s="76"/>
      <c r="C667" s="27"/>
      <c r="D667" s="70"/>
      <c r="E667" s="71"/>
      <c r="F667" s="70"/>
      <c r="G667" s="73"/>
      <c r="H667" s="74"/>
      <c r="I667" s="73"/>
    </row>
    <row r="668" spans="1:9" x14ac:dyDescent="0.3">
      <c r="A668" s="27"/>
      <c r="B668" s="76"/>
      <c r="C668" s="27"/>
      <c r="D668" s="70"/>
      <c r="E668" s="71"/>
      <c r="F668" s="70"/>
      <c r="G668" s="73"/>
      <c r="H668" s="74"/>
      <c r="I668" s="73"/>
    </row>
    <row r="669" spans="1:9" x14ac:dyDescent="0.3">
      <c r="A669" s="27"/>
      <c r="B669" s="76"/>
      <c r="C669" s="27"/>
      <c r="D669" s="70"/>
      <c r="E669" s="71"/>
      <c r="F669" s="70"/>
      <c r="G669" s="73"/>
      <c r="H669" s="74"/>
      <c r="I669" s="73"/>
    </row>
    <row r="670" spans="1:9" x14ac:dyDescent="0.3">
      <c r="A670" s="27"/>
      <c r="B670" s="76"/>
      <c r="C670" s="27"/>
      <c r="D670" s="70"/>
      <c r="E670" s="71"/>
      <c r="F670" s="70"/>
      <c r="G670" s="73"/>
      <c r="H670" s="74"/>
      <c r="I670" s="73"/>
    </row>
    <row r="671" spans="1:9" x14ac:dyDescent="0.3">
      <c r="A671" s="27"/>
      <c r="B671" s="76"/>
      <c r="C671" s="27"/>
      <c r="D671" s="70"/>
      <c r="E671" s="71"/>
      <c r="F671" s="70"/>
      <c r="G671" s="73"/>
      <c r="H671" s="74"/>
      <c r="I671" s="73"/>
    </row>
    <row r="672" spans="1:9" x14ac:dyDescent="0.3">
      <c r="A672" s="27"/>
      <c r="B672" s="76"/>
      <c r="C672" s="27"/>
      <c r="D672" s="70"/>
      <c r="E672" s="71"/>
      <c r="F672" s="70"/>
      <c r="G672" s="73"/>
      <c r="H672" s="74"/>
      <c r="I672" s="73"/>
    </row>
    <row r="673" spans="1:9" x14ac:dyDescent="0.3">
      <c r="A673" s="27"/>
      <c r="B673" s="76"/>
      <c r="C673" s="27"/>
      <c r="D673" s="70"/>
      <c r="E673" s="71"/>
      <c r="F673" s="70"/>
      <c r="G673" s="73"/>
      <c r="H673" s="74"/>
      <c r="I673" s="73"/>
    </row>
    <row r="674" spans="1:9" x14ac:dyDescent="0.3">
      <c r="A674" s="27"/>
      <c r="B674" s="76"/>
      <c r="C674" s="27"/>
      <c r="D674" s="70"/>
      <c r="E674" s="71"/>
      <c r="F674" s="70"/>
      <c r="G674" s="73"/>
      <c r="H674" s="74"/>
      <c r="I674" s="73"/>
    </row>
    <row r="675" spans="1:9" x14ac:dyDescent="0.3">
      <c r="A675" s="27"/>
      <c r="B675" s="76"/>
      <c r="C675" s="27"/>
      <c r="D675" s="70"/>
      <c r="E675" s="71"/>
      <c r="F675" s="70"/>
      <c r="G675" s="73"/>
      <c r="H675" s="74"/>
      <c r="I675" s="73"/>
    </row>
    <row r="676" spans="1:9" x14ac:dyDescent="0.3">
      <c r="A676" s="27"/>
      <c r="B676" s="76"/>
      <c r="C676" s="27"/>
      <c r="D676" s="70"/>
      <c r="E676" s="71"/>
      <c r="F676" s="70"/>
      <c r="G676" s="73"/>
      <c r="H676" s="74"/>
      <c r="I676" s="73"/>
    </row>
    <row r="677" spans="1:9" x14ac:dyDescent="0.3">
      <c r="A677" s="27"/>
      <c r="B677" s="76"/>
      <c r="C677" s="27"/>
      <c r="D677" s="70"/>
      <c r="E677" s="71"/>
      <c r="F677" s="70"/>
      <c r="G677" s="73"/>
      <c r="H677" s="74"/>
      <c r="I677" s="73"/>
    </row>
    <row r="678" spans="1:9" x14ac:dyDescent="0.3">
      <c r="A678" s="27"/>
      <c r="B678" s="76"/>
      <c r="C678" s="27"/>
      <c r="D678" s="70"/>
      <c r="E678" s="71"/>
      <c r="F678" s="70"/>
      <c r="G678" s="73"/>
      <c r="H678" s="74"/>
      <c r="I678" s="73"/>
    </row>
    <row r="679" spans="1:9" x14ac:dyDescent="0.3">
      <c r="A679" s="27"/>
      <c r="B679" s="76"/>
      <c r="C679" s="27"/>
      <c r="D679" s="70"/>
      <c r="E679" s="71"/>
      <c r="F679" s="70"/>
      <c r="G679" s="73"/>
      <c r="H679" s="74"/>
      <c r="I679" s="73"/>
    </row>
    <row r="680" spans="1:9" x14ac:dyDescent="0.3">
      <c r="A680" s="27"/>
      <c r="B680" s="76"/>
      <c r="C680" s="27"/>
      <c r="D680" s="70"/>
      <c r="E680" s="71"/>
      <c r="F680" s="70"/>
      <c r="G680" s="73"/>
      <c r="H680" s="74"/>
      <c r="I680" s="73"/>
    </row>
    <row r="681" spans="1:9" x14ac:dyDescent="0.3">
      <c r="A681" s="27"/>
      <c r="B681" s="76"/>
      <c r="C681" s="27"/>
      <c r="D681" s="70"/>
      <c r="E681" s="71"/>
      <c r="F681" s="70"/>
      <c r="G681" s="73"/>
      <c r="H681" s="74"/>
      <c r="I681" s="73"/>
    </row>
    <row r="682" spans="1:9" x14ac:dyDescent="0.3">
      <c r="A682" s="27"/>
      <c r="B682" s="76"/>
      <c r="C682" s="27"/>
      <c r="D682" s="70"/>
      <c r="E682" s="71"/>
      <c r="F682" s="70"/>
      <c r="G682" s="73"/>
      <c r="H682" s="74"/>
      <c r="I682" s="73"/>
    </row>
    <row r="683" spans="1:9" x14ac:dyDescent="0.3">
      <c r="A683" s="27"/>
      <c r="B683" s="76"/>
      <c r="C683" s="27"/>
      <c r="D683" s="70"/>
      <c r="E683" s="71"/>
      <c r="F683" s="70"/>
      <c r="G683" s="73"/>
      <c r="H683" s="74"/>
      <c r="I683" s="73"/>
    </row>
    <row r="684" spans="1:9" x14ac:dyDescent="0.3">
      <c r="A684" s="27"/>
      <c r="B684" s="76"/>
      <c r="C684" s="27"/>
      <c r="D684" s="70"/>
      <c r="E684" s="71"/>
      <c r="F684" s="70"/>
      <c r="G684" s="73"/>
      <c r="H684" s="74"/>
      <c r="I684" s="73"/>
    </row>
    <row r="685" spans="1:9" x14ac:dyDescent="0.3">
      <c r="A685" s="27"/>
      <c r="B685" s="76"/>
      <c r="C685" s="27"/>
      <c r="D685" s="70"/>
      <c r="E685" s="71"/>
      <c r="F685" s="70"/>
      <c r="G685" s="73"/>
      <c r="H685" s="74"/>
      <c r="I685" s="73"/>
    </row>
    <row r="686" spans="1:9" x14ac:dyDescent="0.3">
      <c r="A686" s="27"/>
      <c r="B686" s="76"/>
      <c r="C686" s="27"/>
      <c r="D686" s="70"/>
      <c r="E686" s="71"/>
      <c r="F686" s="70"/>
      <c r="G686" s="73"/>
      <c r="H686" s="74"/>
      <c r="I686" s="73"/>
    </row>
    <row r="687" spans="1:9" x14ac:dyDescent="0.3">
      <c r="A687" s="27"/>
      <c r="B687" s="76"/>
      <c r="C687" s="27"/>
      <c r="D687" s="70"/>
      <c r="E687" s="71"/>
      <c r="F687" s="70"/>
      <c r="G687" s="73"/>
      <c r="H687" s="74"/>
      <c r="I687" s="73"/>
    </row>
    <row r="688" spans="1:9" x14ac:dyDescent="0.3">
      <c r="A688" s="27"/>
      <c r="B688" s="76"/>
      <c r="C688" s="27"/>
      <c r="D688" s="70"/>
      <c r="E688" s="71"/>
      <c r="F688" s="70"/>
      <c r="G688" s="73"/>
      <c r="H688" s="74"/>
      <c r="I688" s="73"/>
    </row>
    <row r="689" spans="1:9" x14ac:dyDescent="0.3">
      <c r="A689" s="27"/>
      <c r="B689" s="76"/>
      <c r="C689" s="27"/>
      <c r="D689" s="70"/>
      <c r="E689" s="71"/>
      <c r="F689" s="70"/>
      <c r="G689" s="73"/>
      <c r="H689" s="74"/>
      <c r="I689" s="73"/>
    </row>
    <row r="690" spans="1:9" x14ac:dyDescent="0.3">
      <c r="A690" s="27"/>
      <c r="B690" s="76"/>
      <c r="C690" s="27"/>
      <c r="D690" s="70"/>
      <c r="E690" s="71"/>
      <c r="F690" s="70"/>
      <c r="G690" s="73"/>
      <c r="H690" s="74"/>
      <c r="I690" s="73"/>
    </row>
    <row r="691" spans="1:9" x14ac:dyDescent="0.3">
      <c r="A691" s="27"/>
      <c r="B691" s="76"/>
      <c r="C691" s="27"/>
      <c r="D691" s="70"/>
      <c r="E691" s="71"/>
      <c r="F691" s="70"/>
      <c r="G691" s="73"/>
      <c r="H691" s="74"/>
      <c r="I691" s="73"/>
    </row>
    <row r="692" spans="1:9" x14ac:dyDescent="0.3">
      <c r="A692" s="27"/>
      <c r="B692" s="76"/>
      <c r="C692" s="27"/>
      <c r="D692" s="70"/>
      <c r="E692" s="71"/>
      <c r="F692" s="70"/>
      <c r="G692" s="73"/>
      <c r="H692" s="74"/>
      <c r="I692" s="73"/>
    </row>
    <row r="693" spans="1:9" x14ac:dyDescent="0.3">
      <c r="A693" s="27"/>
      <c r="B693" s="76"/>
      <c r="C693" s="27"/>
      <c r="D693" s="70"/>
      <c r="E693" s="71"/>
      <c r="F693" s="70"/>
      <c r="G693" s="73"/>
      <c r="H693" s="74"/>
      <c r="I693" s="73"/>
    </row>
    <row r="694" spans="1:9" x14ac:dyDescent="0.3">
      <c r="A694" s="27"/>
      <c r="B694" s="76"/>
      <c r="C694" s="27"/>
      <c r="D694" s="70"/>
      <c r="E694" s="71"/>
      <c r="F694" s="70"/>
      <c r="G694" s="73"/>
      <c r="H694" s="74"/>
      <c r="I694" s="73"/>
    </row>
    <row r="695" spans="1:9" x14ac:dyDescent="0.3">
      <c r="A695" s="27"/>
      <c r="B695" s="76"/>
      <c r="C695" s="27"/>
      <c r="D695" s="70"/>
      <c r="E695" s="71"/>
      <c r="F695" s="70"/>
      <c r="G695" s="73"/>
      <c r="H695" s="74"/>
      <c r="I695" s="73"/>
    </row>
    <row r="696" spans="1:9" x14ac:dyDescent="0.3">
      <c r="A696" s="27"/>
      <c r="B696" s="76"/>
      <c r="C696" s="27"/>
      <c r="D696" s="70"/>
      <c r="E696" s="71"/>
      <c r="F696" s="70"/>
      <c r="G696" s="73"/>
      <c r="H696" s="74"/>
      <c r="I696" s="73"/>
    </row>
    <row r="697" spans="1:9" x14ac:dyDescent="0.3">
      <c r="A697" s="27"/>
      <c r="B697" s="76"/>
      <c r="C697" s="27"/>
      <c r="D697" s="70"/>
      <c r="E697" s="71"/>
      <c r="F697" s="70"/>
      <c r="G697" s="73"/>
      <c r="H697" s="74"/>
      <c r="I697" s="73"/>
    </row>
    <row r="698" spans="1:9" x14ac:dyDescent="0.3">
      <c r="A698" s="27"/>
      <c r="B698" s="76"/>
      <c r="C698" s="27"/>
      <c r="D698" s="70"/>
      <c r="E698" s="71"/>
      <c r="F698" s="70"/>
      <c r="G698" s="73"/>
      <c r="H698" s="74"/>
      <c r="I698" s="73"/>
    </row>
    <row r="699" spans="1:9" x14ac:dyDescent="0.3">
      <c r="A699" s="27"/>
      <c r="B699" s="76"/>
      <c r="C699" s="27"/>
      <c r="D699" s="70"/>
      <c r="E699" s="71"/>
      <c r="F699" s="70"/>
      <c r="G699" s="73"/>
      <c r="H699" s="74"/>
      <c r="I699" s="73"/>
    </row>
    <row r="700" spans="1:9" x14ac:dyDescent="0.3">
      <c r="A700" s="27"/>
      <c r="B700" s="76"/>
      <c r="C700" s="27"/>
      <c r="D700" s="70"/>
      <c r="E700" s="71"/>
      <c r="F700" s="70"/>
      <c r="G700" s="73"/>
      <c r="H700" s="74"/>
      <c r="I700" s="73"/>
    </row>
    <row r="701" spans="1:9" x14ac:dyDescent="0.3">
      <c r="A701" s="27"/>
      <c r="B701" s="76"/>
      <c r="C701" s="27"/>
      <c r="D701" s="70"/>
      <c r="E701" s="71"/>
      <c r="F701" s="70"/>
      <c r="G701" s="73"/>
      <c r="H701" s="74"/>
      <c r="I701" s="73"/>
    </row>
    <row r="702" spans="1:9" x14ac:dyDescent="0.3">
      <c r="A702" s="27"/>
      <c r="B702" s="76"/>
      <c r="C702" s="27"/>
      <c r="D702" s="70"/>
      <c r="E702" s="71"/>
      <c r="F702" s="70"/>
      <c r="G702" s="73"/>
      <c r="H702" s="74"/>
      <c r="I702" s="73"/>
    </row>
    <row r="703" spans="1:9" x14ac:dyDescent="0.3">
      <c r="A703" s="27"/>
      <c r="B703" s="76"/>
      <c r="C703" s="27"/>
      <c r="D703" s="70"/>
      <c r="E703" s="71"/>
      <c r="F703" s="70"/>
      <c r="G703" s="73"/>
      <c r="H703" s="74"/>
      <c r="I703" s="73"/>
    </row>
    <row r="704" spans="1:9" x14ac:dyDescent="0.3">
      <c r="A704" s="27"/>
      <c r="B704" s="76"/>
      <c r="C704" s="27"/>
      <c r="D704" s="70"/>
      <c r="E704" s="71"/>
      <c r="F704" s="70"/>
      <c r="G704" s="73"/>
      <c r="H704" s="74"/>
      <c r="I704" s="73"/>
    </row>
    <row r="705" spans="1:9" x14ac:dyDescent="0.3">
      <c r="A705" s="27"/>
      <c r="B705" s="76"/>
      <c r="C705" s="27"/>
      <c r="D705" s="70"/>
      <c r="E705" s="71"/>
      <c r="F705" s="70"/>
      <c r="G705" s="73"/>
      <c r="H705" s="74"/>
      <c r="I705" s="73"/>
    </row>
    <row r="706" spans="1:9" x14ac:dyDescent="0.3">
      <c r="A706" s="27"/>
      <c r="B706" s="76"/>
      <c r="C706" s="27"/>
      <c r="D706" s="70"/>
      <c r="E706" s="71"/>
      <c r="F706" s="70"/>
      <c r="G706" s="73"/>
      <c r="H706" s="74"/>
      <c r="I706" s="73"/>
    </row>
    <row r="707" spans="1:9" x14ac:dyDescent="0.3">
      <c r="A707" s="27"/>
      <c r="B707" s="76"/>
      <c r="C707" s="27"/>
      <c r="D707" s="70"/>
      <c r="E707" s="71"/>
      <c r="F707" s="70"/>
      <c r="G707" s="73"/>
      <c r="H707" s="74"/>
      <c r="I707" s="73"/>
    </row>
    <row r="708" spans="1:9" x14ac:dyDescent="0.3">
      <c r="A708" s="27"/>
      <c r="B708" s="76"/>
      <c r="C708" s="27"/>
      <c r="D708" s="70"/>
      <c r="E708" s="71"/>
      <c r="F708" s="70"/>
      <c r="G708" s="73"/>
      <c r="H708" s="74"/>
      <c r="I708" s="73"/>
    </row>
    <row r="709" spans="1:9" x14ac:dyDescent="0.3">
      <c r="A709" s="27"/>
      <c r="B709" s="76"/>
      <c r="C709" s="27"/>
      <c r="D709" s="70"/>
      <c r="E709" s="71"/>
      <c r="F709" s="70"/>
      <c r="G709" s="73"/>
      <c r="H709" s="74"/>
      <c r="I709" s="73"/>
    </row>
    <row r="710" spans="1:9" x14ac:dyDescent="0.3">
      <c r="A710" s="27"/>
      <c r="B710" s="76"/>
      <c r="C710" s="27"/>
      <c r="D710" s="70"/>
      <c r="E710" s="71"/>
      <c r="F710" s="70"/>
      <c r="G710" s="73"/>
      <c r="H710" s="74"/>
      <c r="I710" s="73"/>
    </row>
    <row r="711" spans="1:9" x14ac:dyDescent="0.3">
      <c r="A711" s="27"/>
      <c r="B711" s="76"/>
      <c r="C711" s="27"/>
      <c r="D711" s="70"/>
      <c r="E711" s="71"/>
      <c r="F711" s="70"/>
      <c r="G711" s="73"/>
      <c r="H711" s="74"/>
      <c r="I711" s="73"/>
    </row>
    <row r="712" spans="1:9" x14ac:dyDescent="0.3">
      <c r="A712" s="27"/>
      <c r="B712" s="76"/>
      <c r="C712" s="27"/>
      <c r="D712" s="70"/>
      <c r="E712" s="71"/>
      <c r="F712" s="70"/>
      <c r="G712" s="73"/>
      <c r="H712" s="74"/>
      <c r="I712" s="73"/>
    </row>
    <row r="713" spans="1:9" x14ac:dyDescent="0.3">
      <c r="A713" s="27"/>
      <c r="B713" s="76"/>
      <c r="C713" s="27"/>
      <c r="D713" s="70"/>
      <c r="E713" s="71"/>
      <c r="F713" s="70"/>
      <c r="G713" s="73"/>
      <c r="H713" s="74"/>
      <c r="I713" s="73"/>
    </row>
    <row r="714" spans="1:9" x14ac:dyDescent="0.3">
      <c r="A714" s="27"/>
      <c r="B714" s="76"/>
      <c r="C714" s="27"/>
      <c r="D714" s="70"/>
      <c r="E714" s="71"/>
      <c r="F714" s="70"/>
      <c r="G714" s="73"/>
      <c r="H714" s="74"/>
      <c r="I714" s="73"/>
    </row>
    <row r="715" spans="1:9" x14ac:dyDescent="0.3">
      <c r="A715" s="27"/>
      <c r="B715" s="76"/>
      <c r="C715" s="27"/>
      <c r="D715" s="70"/>
      <c r="E715" s="71"/>
      <c r="F715" s="70"/>
      <c r="G715" s="73"/>
      <c r="H715" s="74"/>
      <c r="I715" s="73"/>
    </row>
    <row r="716" spans="1:9" x14ac:dyDescent="0.3">
      <c r="A716" s="27"/>
      <c r="B716" s="76"/>
      <c r="C716" s="27"/>
      <c r="D716" s="70"/>
      <c r="E716" s="71"/>
      <c r="F716" s="70"/>
      <c r="G716" s="73"/>
      <c r="H716" s="74"/>
      <c r="I716" s="73"/>
    </row>
    <row r="717" spans="1:9" x14ac:dyDescent="0.3">
      <c r="A717" s="27"/>
      <c r="B717" s="76"/>
      <c r="C717" s="27"/>
      <c r="D717" s="70"/>
      <c r="E717" s="71"/>
      <c r="F717" s="70"/>
      <c r="G717" s="73"/>
      <c r="H717" s="74"/>
      <c r="I717" s="73"/>
    </row>
    <row r="718" spans="1:9" x14ac:dyDescent="0.3">
      <c r="A718" s="27"/>
      <c r="B718" s="76"/>
      <c r="C718" s="27"/>
      <c r="D718" s="70"/>
      <c r="E718" s="71"/>
      <c r="F718" s="70"/>
      <c r="G718" s="73"/>
      <c r="H718" s="74"/>
      <c r="I718" s="73"/>
    </row>
    <row r="719" spans="1:9" x14ac:dyDescent="0.3">
      <c r="A719" s="27"/>
      <c r="B719" s="76"/>
      <c r="C719" s="27"/>
      <c r="D719" s="70"/>
      <c r="E719" s="71"/>
      <c r="F719" s="70"/>
      <c r="G719" s="73"/>
      <c r="H719" s="74"/>
      <c r="I719" s="73"/>
    </row>
    <row r="720" spans="1:9" x14ac:dyDescent="0.3">
      <c r="A720" s="27"/>
      <c r="B720" s="76"/>
      <c r="C720" s="27"/>
      <c r="D720" s="70"/>
      <c r="E720" s="71"/>
      <c r="F720" s="70"/>
      <c r="G720" s="73"/>
      <c r="H720" s="74"/>
      <c r="I720" s="73"/>
    </row>
    <row r="721" spans="1:9" x14ac:dyDescent="0.3">
      <c r="A721" s="27"/>
      <c r="B721" s="76"/>
      <c r="C721" s="27"/>
      <c r="D721" s="70"/>
      <c r="E721" s="71"/>
      <c r="F721" s="70"/>
      <c r="G721" s="73"/>
      <c r="H721" s="74"/>
      <c r="I721" s="73"/>
    </row>
    <row r="722" spans="1:9" x14ac:dyDescent="0.3">
      <c r="A722" s="27"/>
      <c r="B722" s="76"/>
      <c r="C722" s="27"/>
      <c r="D722" s="70"/>
      <c r="E722" s="71"/>
      <c r="F722" s="70"/>
      <c r="G722" s="73"/>
      <c r="H722" s="74"/>
      <c r="I722" s="73"/>
    </row>
    <row r="723" spans="1:9" x14ac:dyDescent="0.3">
      <c r="A723" s="27"/>
      <c r="B723" s="76"/>
      <c r="C723" s="27"/>
      <c r="D723" s="70"/>
      <c r="E723" s="71"/>
      <c r="F723" s="70"/>
      <c r="G723" s="73"/>
      <c r="H723" s="74"/>
      <c r="I723" s="73"/>
    </row>
    <row r="724" spans="1:9" x14ac:dyDescent="0.3">
      <c r="A724" s="27"/>
      <c r="B724" s="76"/>
      <c r="C724" s="27"/>
      <c r="D724" s="70"/>
      <c r="E724" s="71"/>
      <c r="F724" s="70"/>
      <c r="G724" s="73"/>
      <c r="H724" s="74"/>
      <c r="I724" s="73"/>
    </row>
    <row r="725" spans="1:9" x14ac:dyDescent="0.3">
      <c r="A725" s="27"/>
      <c r="B725" s="76"/>
      <c r="C725" s="27"/>
      <c r="D725" s="70"/>
      <c r="E725" s="71"/>
      <c r="F725" s="70"/>
      <c r="G725" s="73"/>
      <c r="H725" s="74"/>
      <c r="I725" s="73"/>
    </row>
    <row r="726" spans="1:9" x14ac:dyDescent="0.3">
      <c r="A726" s="27"/>
      <c r="B726" s="76"/>
      <c r="C726" s="27"/>
      <c r="D726" s="70"/>
      <c r="E726" s="71"/>
      <c r="F726" s="70"/>
      <c r="G726" s="73"/>
      <c r="H726" s="74"/>
      <c r="I726" s="73"/>
    </row>
    <row r="727" spans="1:9" x14ac:dyDescent="0.3">
      <c r="A727" s="27"/>
      <c r="B727" s="76"/>
      <c r="C727" s="27"/>
      <c r="D727" s="70"/>
      <c r="E727" s="71"/>
      <c r="F727" s="70"/>
      <c r="G727" s="73"/>
      <c r="H727" s="74"/>
      <c r="I727" s="73"/>
    </row>
    <row r="728" spans="1:9" x14ac:dyDescent="0.3">
      <c r="A728" s="27"/>
      <c r="B728" s="76"/>
      <c r="C728" s="27"/>
      <c r="D728" s="70"/>
      <c r="E728" s="71"/>
      <c r="F728" s="70"/>
      <c r="G728" s="73"/>
      <c r="H728" s="74"/>
      <c r="I728" s="73"/>
    </row>
    <row r="729" spans="1:9" x14ac:dyDescent="0.3">
      <c r="A729" s="27"/>
      <c r="B729" s="76"/>
      <c r="C729" s="27"/>
      <c r="D729" s="70"/>
      <c r="E729" s="71"/>
      <c r="F729" s="70"/>
      <c r="G729" s="73"/>
      <c r="H729" s="74"/>
      <c r="I729" s="73"/>
    </row>
    <row r="730" spans="1:9" x14ac:dyDescent="0.3">
      <c r="A730" s="27"/>
      <c r="B730" s="76"/>
      <c r="C730" s="27"/>
      <c r="D730" s="70"/>
      <c r="E730" s="71"/>
      <c r="F730" s="70"/>
      <c r="G730" s="73"/>
      <c r="H730" s="74"/>
      <c r="I730" s="73"/>
    </row>
    <row r="731" spans="1:9" x14ac:dyDescent="0.3">
      <c r="A731" s="27"/>
      <c r="B731" s="76"/>
      <c r="C731" s="27"/>
      <c r="D731" s="70"/>
      <c r="E731" s="71"/>
      <c r="F731" s="70"/>
      <c r="G731" s="73"/>
      <c r="H731" s="74"/>
      <c r="I731" s="73"/>
    </row>
    <row r="732" spans="1:9" x14ac:dyDescent="0.3">
      <c r="A732" s="27"/>
      <c r="B732" s="76"/>
      <c r="C732" s="27"/>
      <c r="D732" s="70"/>
      <c r="E732" s="71"/>
      <c r="F732" s="70"/>
      <c r="G732" s="73"/>
      <c r="H732" s="74"/>
      <c r="I732" s="73"/>
    </row>
    <row r="733" spans="1:9" x14ac:dyDescent="0.3">
      <c r="A733" s="27"/>
      <c r="B733" s="76"/>
      <c r="C733" s="27"/>
      <c r="D733" s="70"/>
      <c r="E733" s="71"/>
      <c r="F733" s="70"/>
      <c r="G733" s="73"/>
      <c r="H733" s="74"/>
      <c r="I733" s="73"/>
    </row>
    <row r="734" spans="1:9" x14ac:dyDescent="0.3">
      <c r="A734" s="27"/>
      <c r="B734" s="76"/>
      <c r="C734" s="27"/>
      <c r="D734" s="70"/>
      <c r="E734" s="71"/>
      <c r="F734" s="70"/>
      <c r="G734" s="73"/>
      <c r="H734" s="74"/>
      <c r="I734" s="73"/>
    </row>
    <row r="735" spans="1:9" x14ac:dyDescent="0.3">
      <c r="A735" s="27"/>
      <c r="B735" s="76"/>
      <c r="C735" s="27"/>
      <c r="D735" s="70"/>
      <c r="E735" s="71"/>
      <c r="F735" s="70"/>
      <c r="G735" s="73"/>
      <c r="H735" s="74"/>
      <c r="I735" s="73"/>
    </row>
    <row r="736" spans="1:9" x14ac:dyDescent="0.3">
      <c r="A736" s="27"/>
      <c r="B736" s="76"/>
      <c r="C736" s="27"/>
      <c r="D736" s="70"/>
      <c r="E736" s="71"/>
      <c r="F736" s="70"/>
      <c r="G736" s="73"/>
      <c r="H736" s="74"/>
      <c r="I736" s="73"/>
    </row>
    <row r="737" spans="1:9" x14ac:dyDescent="0.3">
      <c r="A737" s="27"/>
      <c r="B737" s="76"/>
      <c r="C737" s="27"/>
      <c r="D737" s="70"/>
      <c r="E737" s="71"/>
      <c r="F737" s="70"/>
      <c r="G737" s="73"/>
      <c r="H737" s="74"/>
      <c r="I737" s="73"/>
    </row>
    <row r="738" spans="1:9" x14ac:dyDescent="0.3">
      <c r="A738" s="27"/>
      <c r="B738" s="76"/>
      <c r="C738" s="27"/>
      <c r="D738" s="70"/>
      <c r="E738" s="71"/>
      <c r="F738" s="70"/>
      <c r="G738" s="73"/>
      <c r="H738" s="74"/>
      <c r="I738" s="73"/>
    </row>
    <row r="739" spans="1:9" x14ac:dyDescent="0.3">
      <c r="A739" s="27"/>
      <c r="B739" s="76"/>
      <c r="C739" s="27"/>
      <c r="D739" s="70"/>
      <c r="E739" s="71"/>
      <c r="F739" s="70"/>
      <c r="G739" s="73"/>
      <c r="H739" s="74"/>
      <c r="I739" s="73"/>
    </row>
    <row r="740" spans="1:9" x14ac:dyDescent="0.3">
      <c r="A740" s="27"/>
      <c r="B740" s="76"/>
      <c r="C740" s="27"/>
      <c r="D740" s="70"/>
      <c r="E740" s="71"/>
      <c r="F740" s="70"/>
      <c r="G740" s="73"/>
      <c r="H740" s="74"/>
      <c r="I740" s="73"/>
    </row>
    <row r="741" spans="1:9" x14ac:dyDescent="0.3">
      <c r="A741" s="27"/>
      <c r="B741" s="76"/>
      <c r="C741" s="27"/>
      <c r="D741" s="70"/>
      <c r="E741" s="71"/>
      <c r="F741" s="70"/>
      <c r="G741" s="73"/>
      <c r="H741" s="74"/>
      <c r="I741" s="73"/>
    </row>
    <row r="742" spans="1:9" x14ac:dyDescent="0.3">
      <c r="A742" s="27"/>
      <c r="B742" s="76"/>
      <c r="C742" s="27"/>
      <c r="D742" s="70"/>
      <c r="E742" s="71"/>
      <c r="F742" s="70"/>
      <c r="G742" s="73"/>
      <c r="H742" s="74"/>
      <c r="I742" s="73"/>
    </row>
    <row r="743" spans="1:9" x14ac:dyDescent="0.3">
      <c r="A743" s="27"/>
      <c r="B743" s="76"/>
      <c r="C743" s="27"/>
      <c r="D743" s="70"/>
      <c r="E743" s="71"/>
      <c r="F743" s="70"/>
      <c r="G743" s="73"/>
      <c r="H743" s="74"/>
      <c r="I743" s="73"/>
    </row>
    <row r="744" spans="1:9" x14ac:dyDescent="0.3">
      <c r="A744" s="27"/>
      <c r="B744" s="76"/>
      <c r="C744" s="27"/>
      <c r="D744" s="70"/>
      <c r="E744" s="71"/>
      <c r="F744" s="70"/>
      <c r="G744" s="73"/>
      <c r="H744" s="74"/>
      <c r="I744" s="73"/>
    </row>
    <row r="745" spans="1:9" x14ac:dyDescent="0.3">
      <c r="A745" s="27"/>
      <c r="B745" s="76"/>
      <c r="C745" s="27"/>
      <c r="D745" s="70"/>
      <c r="E745" s="71"/>
      <c r="F745" s="70"/>
      <c r="G745" s="73"/>
      <c r="H745" s="74"/>
      <c r="I745" s="73"/>
    </row>
    <row r="746" spans="1:9" x14ac:dyDescent="0.3">
      <c r="A746" s="27"/>
      <c r="B746" s="76"/>
      <c r="C746" s="27"/>
      <c r="D746" s="70"/>
      <c r="E746" s="71"/>
      <c r="F746" s="70"/>
      <c r="G746" s="73"/>
      <c r="H746" s="74"/>
      <c r="I746" s="73"/>
    </row>
    <row r="747" spans="1:9" x14ac:dyDescent="0.3">
      <c r="A747" s="27"/>
      <c r="B747" s="76"/>
      <c r="C747" s="27"/>
      <c r="D747" s="70"/>
      <c r="E747" s="71"/>
      <c r="F747" s="70"/>
      <c r="G747" s="73"/>
      <c r="H747" s="74"/>
      <c r="I747" s="73"/>
    </row>
    <row r="748" spans="1:9" x14ac:dyDescent="0.3">
      <c r="A748" s="27"/>
      <c r="B748" s="76"/>
      <c r="C748" s="27"/>
      <c r="D748" s="70"/>
      <c r="E748" s="71"/>
      <c r="F748" s="70"/>
      <c r="G748" s="73"/>
      <c r="H748" s="74"/>
      <c r="I748" s="73"/>
    </row>
    <row r="749" spans="1:9" x14ac:dyDescent="0.3">
      <c r="A749" s="27"/>
      <c r="B749" s="76"/>
      <c r="C749" s="27"/>
      <c r="D749" s="70"/>
      <c r="E749" s="71"/>
      <c r="F749" s="70"/>
      <c r="G749" s="73"/>
      <c r="H749" s="74"/>
      <c r="I749" s="73"/>
    </row>
    <row r="750" spans="1:9" x14ac:dyDescent="0.3">
      <c r="A750" s="27"/>
      <c r="B750" s="76"/>
      <c r="C750" s="27"/>
      <c r="D750" s="70"/>
      <c r="E750" s="71"/>
      <c r="F750" s="70"/>
      <c r="G750" s="73"/>
      <c r="H750" s="74"/>
      <c r="I750" s="73"/>
    </row>
  </sheetData>
  <mergeCells count="4">
    <mergeCell ref="A1:B3"/>
    <mergeCell ref="A5:C5"/>
    <mergeCell ref="D5:F5"/>
    <mergeCell ref="G5:I5"/>
  </mergeCells>
  <phoneticPr fontId="13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C27" sqref="C27"/>
    </sheetView>
  </sheetViews>
  <sheetFormatPr baseColWidth="10" defaultColWidth="10.88671875" defaultRowHeight="14.4" x14ac:dyDescent="0.3"/>
  <cols>
    <col min="1" max="1" width="21.88671875" style="21" customWidth="1"/>
    <col min="2" max="5" width="10.88671875" style="21"/>
    <col min="6" max="6" width="11.88671875" style="21" bestFit="1" customWidth="1"/>
    <col min="7" max="16384" width="10.88671875" style="21"/>
  </cols>
  <sheetData>
    <row r="1" spans="1:9" x14ac:dyDescent="0.3">
      <c r="A1" s="159" t="s">
        <v>68</v>
      </c>
      <c r="B1" s="160"/>
    </row>
    <row r="2" spans="1:9" x14ac:dyDescent="0.3">
      <c r="A2" s="161"/>
      <c r="B2" s="162"/>
    </row>
    <row r="3" spans="1:9" ht="15" thickBot="1" x14ac:dyDescent="0.35">
      <c r="A3" s="163"/>
      <c r="B3" s="164"/>
    </row>
    <row r="5" spans="1:9" ht="15" x14ac:dyDescent="0.25">
      <c r="A5" s="34"/>
    </row>
    <row r="6" spans="1:9" ht="15.75" thickBot="1" x14ac:dyDescent="0.3"/>
    <row r="7" spans="1:9" x14ac:dyDescent="0.3">
      <c r="A7" s="157" t="s">
        <v>52</v>
      </c>
      <c r="B7" s="165" t="s">
        <v>53</v>
      </c>
      <c r="C7" s="166"/>
      <c r="D7" s="167"/>
      <c r="G7" s="21" t="s">
        <v>265</v>
      </c>
    </row>
    <row r="8" spans="1:9" x14ac:dyDescent="0.3">
      <c r="A8" s="158"/>
      <c r="B8" s="40" t="s">
        <v>50</v>
      </c>
      <c r="C8" s="36" t="s">
        <v>51</v>
      </c>
      <c r="D8" s="36" t="s">
        <v>271</v>
      </c>
      <c r="H8" s="21" t="s">
        <v>266</v>
      </c>
      <c r="I8" s="21" t="s">
        <v>267</v>
      </c>
    </row>
    <row r="9" spans="1:9" ht="15" x14ac:dyDescent="0.25">
      <c r="A9" s="35" t="s">
        <v>41</v>
      </c>
      <c r="B9" s="40">
        <v>3</v>
      </c>
      <c r="C9" s="36">
        <v>3</v>
      </c>
      <c r="D9" s="38">
        <v>3</v>
      </c>
      <c r="G9" s="21">
        <v>20000</v>
      </c>
      <c r="H9" s="21">
        <f>G9*0.3</f>
        <v>6000</v>
      </c>
      <c r="I9" s="21">
        <f>G9*0.7</f>
        <v>14000</v>
      </c>
    </row>
    <row r="10" spans="1:9" ht="15" x14ac:dyDescent="0.25">
      <c r="A10" s="35" t="s">
        <v>14</v>
      </c>
      <c r="B10" s="40"/>
      <c r="C10" s="36"/>
      <c r="D10" s="38"/>
      <c r="G10" s="82"/>
    </row>
    <row r="11" spans="1:9" ht="15.75" thickBot="1" x14ac:dyDescent="0.3">
      <c r="A11" s="41" t="s">
        <v>15</v>
      </c>
      <c r="B11" s="40">
        <v>9</v>
      </c>
      <c r="C11" s="39">
        <v>8</v>
      </c>
      <c r="D11" s="38">
        <v>12</v>
      </c>
    </row>
    <row r="12" spans="1:9" ht="15.75" thickBot="1" x14ac:dyDescent="0.3">
      <c r="A12" s="41" t="s">
        <v>248</v>
      </c>
      <c r="B12" s="40">
        <v>1</v>
      </c>
      <c r="C12" s="39">
        <v>7</v>
      </c>
      <c r="D12" s="38">
        <v>5</v>
      </c>
    </row>
    <row r="13" spans="1:9" ht="15.75" thickBot="1" x14ac:dyDescent="0.3">
      <c r="A13" s="41" t="s">
        <v>249</v>
      </c>
      <c r="B13" s="40">
        <v>1</v>
      </c>
      <c r="C13" s="39">
        <v>4</v>
      </c>
      <c r="D13" s="38">
        <v>5</v>
      </c>
      <c r="F13" s="21">
        <f>+D11*13650</f>
        <v>163800</v>
      </c>
    </row>
    <row r="19" ht="14.4" customHeight="1" x14ac:dyDescent="0.25"/>
  </sheetData>
  <mergeCells count="3">
    <mergeCell ref="A7:A8"/>
    <mergeCell ref="A1:B3"/>
    <mergeCell ref="B7:D7"/>
  </mergeCells>
  <phoneticPr fontId="13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activeCell="E20" sqref="E20"/>
    </sheetView>
  </sheetViews>
  <sheetFormatPr baseColWidth="10" defaultRowHeight="14.4" x14ac:dyDescent="0.3"/>
  <cols>
    <col min="1" max="1" width="19.6640625" customWidth="1"/>
    <col min="2" max="2" width="41.109375" customWidth="1"/>
    <col min="3" max="3" width="12.44140625" customWidth="1"/>
    <col min="4" max="4" width="15.5546875" customWidth="1"/>
  </cols>
  <sheetData>
    <row r="1" spans="1:4" ht="21.6" customHeight="1" x14ac:dyDescent="0.3">
      <c r="A1" s="168" t="s">
        <v>158</v>
      </c>
      <c r="B1" s="168"/>
      <c r="C1" s="168"/>
      <c r="D1" s="2"/>
    </row>
    <row r="2" spans="1:4" ht="25.5" customHeight="1" x14ac:dyDescent="0.3">
      <c r="A2" s="168"/>
      <c r="B2" s="168"/>
      <c r="C2" s="168"/>
      <c r="D2" s="2"/>
    </row>
    <row r="4" spans="1:4" ht="15" x14ac:dyDescent="0.25">
      <c r="A4" s="30" t="s">
        <v>10</v>
      </c>
      <c r="B4" s="30" t="s">
        <v>223</v>
      </c>
      <c r="C4" s="121" t="s">
        <v>139</v>
      </c>
      <c r="D4" s="122"/>
    </row>
    <row r="5" spans="1:4" ht="15" x14ac:dyDescent="0.25">
      <c r="A5" s="30" t="s">
        <v>157</v>
      </c>
      <c r="B5" s="107"/>
      <c r="C5" s="121" t="s">
        <v>163</v>
      </c>
      <c r="D5" s="127"/>
    </row>
    <row r="6" spans="1:4" ht="15" x14ac:dyDescent="0.25">
      <c r="A6" s="30"/>
      <c r="C6" s="23"/>
      <c r="D6" s="63"/>
    </row>
    <row r="7" spans="1:4" ht="15" x14ac:dyDescent="0.25">
      <c r="A7" s="30" t="s">
        <v>156</v>
      </c>
      <c r="B7" s="30"/>
      <c r="C7" s="123" t="s">
        <v>224</v>
      </c>
      <c r="D7" s="124"/>
    </row>
    <row r="8" spans="1:4" ht="15" x14ac:dyDescent="0.25">
      <c r="A8" s="30"/>
      <c r="B8" s="30"/>
      <c r="C8" s="123" t="s">
        <v>162</v>
      </c>
      <c r="D8" s="124"/>
    </row>
    <row r="9" spans="1:4" ht="15" x14ac:dyDescent="0.25">
      <c r="A9" s="21"/>
      <c r="B9" s="107"/>
      <c r="C9" s="125"/>
      <c r="D9" s="126"/>
    </row>
    <row r="11" spans="1:4" ht="15" x14ac:dyDescent="0.25">
      <c r="A11" s="169" t="s">
        <v>159</v>
      </c>
      <c r="B11" s="169"/>
      <c r="C11" s="169"/>
    </row>
    <row r="12" spans="1:4" ht="15" x14ac:dyDescent="0.25">
      <c r="A12" s="109" t="s">
        <v>160</v>
      </c>
      <c r="B12" s="109" t="s">
        <v>161</v>
      </c>
      <c r="C12" s="109" t="s">
        <v>162</v>
      </c>
    </row>
    <row r="13" spans="1:4" ht="15" x14ac:dyDescent="0.25">
      <c r="A13" s="30"/>
      <c r="B13" s="108"/>
      <c r="C13" s="14"/>
    </row>
    <row r="14" spans="1:4" ht="15" x14ac:dyDescent="0.25">
      <c r="A14" s="30"/>
      <c r="B14" s="108"/>
      <c r="C14" s="14"/>
    </row>
    <row r="15" spans="1:4" ht="15" x14ac:dyDescent="0.25">
      <c r="A15" s="30"/>
      <c r="B15" s="108"/>
      <c r="C15" s="14"/>
    </row>
    <row r="16" spans="1:4" ht="15" x14ac:dyDescent="0.25">
      <c r="A16" s="30"/>
      <c r="B16" s="108"/>
      <c r="C16" s="14"/>
    </row>
    <row r="17" spans="1:3" ht="15" x14ac:dyDescent="0.25">
      <c r="A17" s="30"/>
      <c r="B17" s="30"/>
      <c r="C17" s="14"/>
    </row>
    <row r="18" spans="1:3" ht="15" x14ac:dyDescent="0.25">
      <c r="A18" s="30"/>
      <c r="B18" s="30"/>
      <c r="C18" s="14"/>
    </row>
    <row r="19" spans="1:3" ht="15" x14ac:dyDescent="0.25">
      <c r="A19" s="30"/>
      <c r="B19" s="30"/>
      <c r="C19" s="14"/>
    </row>
    <row r="20" spans="1:3" ht="15" x14ac:dyDescent="0.25">
      <c r="A20" s="30"/>
      <c r="B20" s="30"/>
      <c r="C20" s="14"/>
    </row>
    <row r="21" spans="1:3" ht="15" x14ac:dyDescent="0.25">
      <c r="A21" s="21"/>
      <c r="B21" s="21"/>
      <c r="C21" s="82"/>
    </row>
    <row r="22" spans="1:3" ht="15" x14ac:dyDescent="0.25">
      <c r="A22" s="21"/>
      <c r="B22" s="21"/>
      <c r="C22" s="21"/>
    </row>
    <row r="23" spans="1:3" ht="15" x14ac:dyDescent="0.25">
      <c r="A23" s="21"/>
      <c r="B23" s="21"/>
      <c r="C23" s="21"/>
    </row>
  </sheetData>
  <mergeCells count="2">
    <mergeCell ref="A1:C2"/>
    <mergeCell ref="A11:C11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743"/>
  <sheetViews>
    <sheetView workbookViewId="0">
      <selection activeCell="I3" sqref="I3"/>
    </sheetView>
  </sheetViews>
  <sheetFormatPr baseColWidth="10" defaultRowHeight="14.4" x14ac:dyDescent="0.3"/>
  <cols>
    <col min="1" max="1" width="21.109375" customWidth="1"/>
    <col min="2" max="2" width="9.5546875" customWidth="1"/>
    <col min="3" max="3" width="9" customWidth="1"/>
    <col min="4" max="4" width="15.33203125" customWidth="1"/>
    <col min="5" max="7" width="15.44140625" customWidth="1"/>
    <col min="9" max="9" width="18.6640625" customWidth="1"/>
    <col min="10" max="11" width="15.5546875" customWidth="1"/>
  </cols>
  <sheetData>
    <row r="1" spans="1:14" ht="15" thickBot="1" x14ac:dyDescent="0.35">
      <c r="A1" s="131" t="s">
        <v>60</v>
      </c>
      <c r="B1" s="132"/>
      <c r="C1" s="132"/>
      <c r="E1" s="106" t="s">
        <v>78</v>
      </c>
      <c r="H1" s="65" t="s">
        <v>268</v>
      </c>
      <c r="I1" s="63">
        <f>SUM(D7:D1382)</f>
        <v>391000</v>
      </c>
    </row>
    <row r="2" spans="1:14" ht="15" thickBot="1" x14ac:dyDescent="0.35">
      <c r="A2" s="131"/>
      <c r="B2" s="132"/>
      <c r="C2" s="132"/>
      <c r="E2" s="75" t="s">
        <v>272</v>
      </c>
      <c r="F2" s="114">
        <v>12000</v>
      </c>
      <c r="G2">
        <v>5800</v>
      </c>
      <c r="H2" s="66" t="s">
        <v>269</v>
      </c>
      <c r="I2" s="63">
        <f>SUM(H7:H1383)</f>
        <v>426000</v>
      </c>
    </row>
    <row r="3" spans="1:14" x14ac:dyDescent="0.3">
      <c r="A3" s="131"/>
      <c r="B3" s="132"/>
      <c r="C3" s="132"/>
      <c r="E3" t="s">
        <v>274</v>
      </c>
      <c r="F3">
        <v>15000</v>
      </c>
      <c r="H3" s="67" t="s">
        <v>54</v>
      </c>
      <c r="I3" s="63">
        <f>SUM(L7:L1383)</f>
        <v>0</v>
      </c>
      <c r="L3">
        <f>19200*2</f>
        <v>38400</v>
      </c>
      <c r="N3">
        <f>84000*2</f>
        <v>168000</v>
      </c>
    </row>
    <row r="4" spans="1:14" x14ac:dyDescent="0.3">
      <c r="N4">
        <f>N3-96000</f>
        <v>72000</v>
      </c>
    </row>
    <row r="5" spans="1:14" x14ac:dyDescent="0.3">
      <c r="A5" s="150" t="s">
        <v>50</v>
      </c>
      <c r="B5" s="150"/>
      <c r="C5" s="150"/>
      <c r="D5" s="150"/>
      <c r="E5" s="151" t="s">
        <v>51</v>
      </c>
      <c r="F5" s="152"/>
      <c r="G5" s="152"/>
      <c r="H5" s="153"/>
      <c r="I5" s="154" t="s">
        <v>271</v>
      </c>
      <c r="J5" s="155"/>
      <c r="K5" s="155"/>
      <c r="L5" s="156"/>
    </row>
    <row r="6" spans="1:14" x14ac:dyDescent="0.3">
      <c r="A6" s="40" t="s">
        <v>10</v>
      </c>
      <c r="B6" s="40" t="s">
        <v>276</v>
      </c>
      <c r="C6" s="40" t="s">
        <v>277</v>
      </c>
      <c r="D6" s="40" t="s">
        <v>77</v>
      </c>
      <c r="E6" s="69" t="s">
        <v>10</v>
      </c>
      <c r="F6" s="40" t="s">
        <v>276</v>
      </c>
      <c r="G6" s="40" t="s">
        <v>277</v>
      </c>
      <c r="H6" s="40" t="s">
        <v>77</v>
      </c>
      <c r="I6" s="72" t="s">
        <v>10</v>
      </c>
      <c r="J6" s="72" t="s">
        <v>175</v>
      </c>
      <c r="K6" s="72" t="s">
        <v>75</v>
      </c>
      <c r="L6" s="72" t="s">
        <v>77</v>
      </c>
    </row>
    <row r="7" spans="1:14" x14ac:dyDescent="0.3">
      <c r="A7" s="27" t="s">
        <v>273</v>
      </c>
      <c r="B7" s="27">
        <v>8</v>
      </c>
      <c r="C7" s="27"/>
      <c r="D7" s="130">
        <f>B7*$F$2+C7*$F$3</f>
        <v>96000</v>
      </c>
      <c r="E7" s="70" t="s">
        <v>273</v>
      </c>
      <c r="F7" s="27">
        <v>8</v>
      </c>
      <c r="G7" s="27"/>
      <c r="H7" s="130">
        <v>72000</v>
      </c>
      <c r="I7" s="73"/>
      <c r="J7" s="73"/>
      <c r="K7" s="73"/>
      <c r="L7" s="74"/>
    </row>
    <row r="8" spans="1:14" x14ac:dyDescent="0.3">
      <c r="A8" s="27" t="s">
        <v>275</v>
      </c>
      <c r="B8" s="27">
        <v>4</v>
      </c>
      <c r="C8" s="27">
        <v>5</v>
      </c>
      <c r="D8" s="130">
        <f t="shared" ref="D8:D71" si="0">B8*$F$2+C8*$F$3</f>
        <v>123000</v>
      </c>
      <c r="E8" s="70" t="s">
        <v>275</v>
      </c>
      <c r="F8" s="27">
        <v>4</v>
      </c>
      <c r="G8" s="27">
        <v>3</v>
      </c>
      <c r="H8" s="130">
        <f>F8*$F$2+G8*$F$3</f>
        <v>93000</v>
      </c>
      <c r="I8" s="73"/>
      <c r="J8" s="73"/>
      <c r="K8" s="73"/>
      <c r="L8" s="74"/>
    </row>
    <row r="9" spans="1:14" x14ac:dyDescent="0.3">
      <c r="A9" s="27" t="s">
        <v>278</v>
      </c>
      <c r="B9" s="27">
        <v>1</v>
      </c>
      <c r="C9" s="27"/>
      <c r="D9" s="130">
        <f t="shared" si="0"/>
        <v>12000</v>
      </c>
      <c r="E9" s="70" t="s">
        <v>278</v>
      </c>
      <c r="F9" s="27">
        <v>5</v>
      </c>
      <c r="G9" s="27"/>
      <c r="H9" s="130">
        <f t="shared" ref="H8:H10" si="1">F9*$F$2+G9*$F$3</f>
        <v>60000</v>
      </c>
      <c r="I9" s="73"/>
      <c r="J9" s="73"/>
      <c r="K9" s="73"/>
      <c r="L9" s="74"/>
    </row>
    <row r="10" spans="1:14" x14ac:dyDescent="0.3">
      <c r="A10" s="27" t="s">
        <v>227</v>
      </c>
      <c r="B10" s="27">
        <v>16</v>
      </c>
      <c r="C10" s="27"/>
      <c r="D10" s="130">
        <f>10000*B10</f>
        <v>160000</v>
      </c>
      <c r="E10" s="70" t="s">
        <v>227</v>
      </c>
      <c r="F10" s="27">
        <f>3*3</f>
        <v>9</v>
      </c>
      <c r="G10" s="27">
        <v>4</v>
      </c>
      <c r="H10" s="130">
        <f>10000*F10+12000*G10</f>
        <v>138000</v>
      </c>
      <c r="I10" s="73"/>
      <c r="J10" s="73"/>
      <c r="K10" s="74"/>
      <c r="L10" s="74"/>
    </row>
    <row r="11" spans="1:14" x14ac:dyDescent="0.3">
      <c r="A11" s="27"/>
      <c r="B11" s="27"/>
      <c r="C11" s="27"/>
      <c r="D11" s="130">
        <f t="shared" si="0"/>
        <v>0</v>
      </c>
      <c r="E11" s="70" t="s">
        <v>293</v>
      </c>
      <c r="F11" s="27">
        <v>4</v>
      </c>
      <c r="G11" s="27"/>
      <c r="H11" s="130"/>
      <c r="I11" s="73"/>
      <c r="J11" s="73"/>
      <c r="K11" s="74"/>
      <c r="L11" s="74"/>
    </row>
    <row r="12" spans="1:14" x14ac:dyDescent="0.3">
      <c r="A12" s="27"/>
      <c r="B12" s="27"/>
      <c r="C12" s="27"/>
      <c r="D12" s="130">
        <f t="shared" si="0"/>
        <v>0</v>
      </c>
      <c r="E12" s="70" t="s">
        <v>294</v>
      </c>
      <c r="F12" s="27">
        <v>4</v>
      </c>
      <c r="G12" s="27"/>
      <c r="H12" s="130">
        <f>F2*F12</f>
        <v>48000</v>
      </c>
      <c r="I12" s="73"/>
      <c r="J12" s="73"/>
      <c r="K12" s="74"/>
      <c r="L12" s="74"/>
      <c r="N12">
        <f>31000*5</f>
        <v>155000</v>
      </c>
    </row>
    <row r="13" spans="1:14" x14ac:dyDescent="0.3">
      <c r="A13" s="27"/>
      <c r="B13" s="27"/>
      <c r="C13" s="27"/>
      <c r="D13" s="130">
        <f t="shared" si="0"/>
        <v>0</v>
      </c>
      <c r="E13" s="70" t="s">
        <v>295</v>
      </c>
      <c r="F13" s="27"/>
      <c r="G13" s="27"/>
      <c r="H13" s="130">
        <f t="shared" ref="H11:H26" si="2">10000*F13</f>
        <v>0</v>
      </c>
      <c r="I13" s="73"/>
      <c r="J13" s="74"/>
      <c r="K13" s="74"/>
      <c r="L13" s="74"/>
    </row>
    <row r="14" spans="1:14" x14ac:dyDescent="0.3">
      <c r="A14" s="27"/>
      <c r="B14" s="27"/>
      <c r="C14" s="27"/>
      <c r="D14" s="130">
        <f t="shared" si="0"/>
        <v>0</v>
      </c>
      <c r="E14" s="70" t="s">
        <v>296</v>
      </c>
      <c r="F14" s="27"/>
      <c r="G14" s="27">
        <v>1</v>
      </c>
      <c r="H14" s="130">
        <f>G14*F3</f>
        <v>15000</v>
      </c>
      <c r="I14" s="73"/>
      <c r="J14" s="74"/>
      <c r="K14" s="74"/>
      <c r="L14" s="74"/>
    </row>
    <row r="15" spans="1:14" x14ac:dyDescent="0.3">
      <c r="A15" s="27"/>
      <c r="B15" s="27"/>
      <c r="C15" s="27"/>
      <c r="D15" s="130">
        <f t="shared" si="0"/>
        <v>0</v>
      </c>
      <c r="E15" s="70"/>
      <c r="F15" s="27"/>
      <c r="G15" s="27"/>
      <c r="H15" s="130">
        <f t="shared" si="2"/>
        <v>0</v>
      </c>
      <c r="I15" s="73"/>
      <c r="J15" s="74"/>
      <c r="K15" s="74"/>
      <c r="L15" s="74"/>
    </row>
    <row r="16" spans="1:14" x14ac:dyDescent="0.3">
      <c r="A16" s="27"/>
      <c r="B16" s="27"/>
      <c r="C16" s="27"/>
      <c r="D16" s="130">
        <f t="shared" si="0"/>
        <v>0</v>
      </c>
      <c r="E16" s="70"/>
      <c r="F16" s="27"/>
      <c r="G16" s="27"/>
      <c r="H16" s="130">
        <f t="shared" si="2"/>
        <v>0</v>
      </c>
      <c r="I16" s="73"/>
      <c r="J16" s="74"/>
      <c r="K16" s="74"/>
      <c r="L16" s="74"/>
    </row>
    <row r="17" spans="1:15" x14ac:dyDescent="0.3">
      <c r="A17" s="27"/>
      <c r="B17" s="27"/>
      <c r="C17" s="27"/>
      <c r="D17" s="130">
        <f t="shared" si="0"/>
        <v>0</v>
      </c>
      <c r="E17" s="70"/>
      <c r="F17" s="27"/>
      <c r="G17" s="27"/>
      <c r="H17" s="130">
        <f t="shared" si="2"/>
        <v>0</v>
      </c>
      <c r="I17" s="73"/>
      <c r="J17" s="74"/>
      <c r="K17" s="74"/>
      <c r="L17" s="74"/>
    </row>
    <row r="18" spans="1:15" x14ac:dyDescent="0.3">
      <c r="A18" s="27"/>
      <c r="B18" s="27"/>
      <c r="C18" s="27"/>
      <c r="D18" s="130">
        <f t="shared" si="0"/>
        <v>0</v>
      </c>
      <c r="E18" s="70"/>
      <c r="F18" s="27"/>
      <c r="G18" s="27"/>
      <c r="H18" s="130">
        <f t="shared" si="2"/>
        <v>0</v>
      </c>
      <c r="I18" s="73"/>
      <c r="J18" s="74"/>
      <c r="K18" s="74"/>
      <c r="L18" s="74"/>
      <c r="O18" t="s">
        <v>279</v>
      </c>
    </row>
    <row r="19" spans="1:15" x14ac:dyDescent="0.3">
      <c r="A19" s="27"/>
      <c r="B19" s="27"/>
      <c r="C19" s="27"/>
      <c r="D19" s="130">
        <f t="shared" si="0"/>
        <v>0</v>
      </c>
      <c r="E19" s="70"/>
      <c r="F19" s="27"/>
      <c r="G19" s="27"/>
      <c r="H19" s="130">
        <f t="shared" si="2"/>
        <v>0</v>
      </c>
      <c r="I19" s="73"/>
      <c r="J19" s="74"/>
      <c r="K19" s="74"/>
      <c r="L19" s="74"/>
    </row>
    <row r="20" spans="1:15" x14ac:dyDescent="0.3">
      <c r="A20" s="27"/>
      <c r="B20" s="27"/>
      <c r="C20" s="27"/>
      <c r="D20" s="130">
        <f t="shared" si="0"/>
        <v>0</v>
      </c>
      <c r="E20" s="70"/>
      <c r="F20" s="27"/>
      <c r="G20" s="27"/>
      <c r="H20" s="130">
        <f t="shared" si="2"/>
        <v>0</v>
      </c>
      <c r="I20" s="73"/>
      <c r="J20" s="74"/>
      <c r="K20" s="74"/>
      <c r="L20" s="74"/>
      <c r="O20" t="s">
        <v>280</v>
      </c>
    </row>
    <row r="21" spans="1:15" x14ac:dyDescent="0.3">
      <c r="A21" s="27"/>
      <c r="B21" s="27"/>
      <c r="C21" s="27"/>
      <c r="D21" s="130">
        <f t="shared" si="0"/>
        <v>0</v>
      </c>
      <c r="E21" s="70"/>
      <c r="F21" s="27"/>
      <c r="G21" s="27"/>
      <c r="H21" s="130">
        <f t="shared" si="2"/>
        <v>0</v>
      </c>
      <c r="I21" s="73"/>
      <c r="J21" s="74"/>
      <c r="K21" s="74"/>
      <c r="L21" s="74"/>
    </row>
    <row r="22" spans="1:15" x14ac:dyDescent="0.3">
      <c r="A22" s="27"/>
      <c r="B22" s="27"/>
      <c r="C22" s="27"/>
      <c r="D22" s="130">
        <f t="shared" si="0"/>
        <v>0</v>
      </c>
      <c r="E22" s="70"/>
      <c r="F22" s="27"/>
      <c r="G22" s="27"/>
      <c r="H22" s="130">
        <f t="shared" si="2"/>
        <v>0</v>
      </c>
      <c r="I22" s="73"/>
      <c r="J22" s="74"/>
      <c r="K22" s="74"/>
      <c r="L22" s="74"/>
    </row>
    <row r="23" spans="1:15" x14ac:dyDescent="0.3">
      <c r="A23" s="27"/>
      <c r="B23" s="27"/>
      <c r="C23" s="27"/>
      <c r="D23" s="130">
        <f t="shared" si="0"/>
        <v>0</v>
      </c>
      <c r="E23" s="70"/>
      <c r="F23" s="27"/>
      <c r="G23" s="27"/>
      <c r="H23" s="130">
        <f t="shared" si="2"/>
        <v>0</v>
      </c>
      <c r="I23" s="73"/>
      <c r="J23" s="74"/>
      <c r="K23" s="74"/>
      <c r="L23" s="74"/>
    </row>
    <row r="24" spans="1:15" x14ac:dyDescent="0.3">
      <c r="A24" s="27"/>
      <c r="B24" s="27"/>
      <c r="C24" s="27"/>
      <c r="D24" s="130">
        <f t="shared" si="0"/>
        <v>0</v>
      </c>
      <c r="E24" s="70"/>
      <c r="F24" s="27"/>
      <c r="G24" s="27"/>
      <c r="H24" s="130">
        <f t="shared" si="2"/>
        <v>0</v>
      </c>
      <c r="I24" s="73"/>
      <c r="J24" s="74"/>
      <c r="K24" s="74"/>
      <c r="L24" s="74"/>
    </row>
    <row r="25" spans="1:15" x14ac:dyDescent="0.3">
      <c r="A25" s="27"/>
      <c r="B25" s="27"/>
      <c r="C25" s="27"/>
      <c r="D25" s="130">
        <f t="shared" si="0"/>
        <v>0</v>
      </c>
      <c r="E25" s="70"/>
      <c r="F25" s="27"/>
      <c r="G25" s="27"/>
      <c r="H25" s="130">
        <f t="shared" si="2"/>
        <v>0</v>
      </c>
      <c r="I25" s="73"/>
      <c r="J25" s="74"/>
      <c r="K25" s="74"/>
      <c r="L25" s="74"/>
    </row>
    <row r="26" spans="1:15" x14ac:dyDescent="0.3">
      <c r="A26" s="27"/>
      <c r="B26" s="27"/>
      <c r="C26" s="27"/>
      <c r="D26" s="130">
        <f t="shared" si="0"/>
        <v>0</v>
      </c>
      <c r="E26" s="70"/>
      <c r="F26" s="27"/>
      <c r="G26" s="27"/>
      <c r="H26" s="130">
        <f t="shared" si="2"/>
        <v>0</v>
      </c>
      <c r="I26" s="73"/>
      <c r="J26" s="74"/>
      <c r="K26" s="74"/>
      <c r="L26" s="74"/>
    </row>
    <row r="27" spans="1:15" ht="15" x14ac:dyDescent="0.25">
      <c r="A27" s="27"/>
      <c r="B27" s="27"/>
      <c r="C27" s="27"/>
      <c r="D27" s="130">
        <f t="shared" si="0"/>
        <v>0</v>
      </c>
      <c r="E27" s="70"/>
      <c r="F27" s="71"/>
      <c r="G27" s="70"/>
      <c r="H27" s="71"/>
      <c r="I27" s="73"/>
      <c r="J27" s="74"/>
      <c r="K27" s="74"/>
      <c r="L27" s="74"/>
    </row>
    <row r="28" spans="1:15" ht="15" x14ac:dyDescent="0.25">
      <c r="A28" s="27"/>
      <c r="B28" s="27"/>
      <c r="C28" s="27"/>
      <c r="D28" s="130">
        <f t="shared" si="0"/>
        <v>0</v>
      </c>
      <c r="E28" s="70"/>
      <c r="F28" s="71"/>
      <c r="G28" s="70"/>
      <c r="H28" s="71"/>
      <c r="I28" s="73"/>
      <c r="J28" s="74"/>
      <c r="K28" s="74"/>
      <c r="L28" s="74"/>
    </row>
    <row r="29" spans="1:15" ht="15" x14ac:dyDescent="0.25">
      <c r="A29" s="27"/>
      <c r="B29" s="27"/>
      <c r="C29" s="27"/>
      <c r="D29" s="130">
        <f t="shared" si="0"/>
        <v>0</v>
      </c>
      <c r="E29" s="70"/>
      <c r="F29" s="71"/>
      <c r="G29" s="70"/>
      <c r="H29" s="71"/>
      <c r="I29" s="73"/>
      <c r="J29" s="74"/>
      <c r="K29" s="74"/>
      <c r="L29" s="74"/>
    </row>
    <row r="30" spans="1:15" ht="15" x14ac:dyDescent="0.25">
      <c r="A30" s="27"/>
      <c r="B30" s="27"/>
      <c r="C30" s="27"/>
      <c r="D30" s="130">
        <f t="shared" si="0"/>
        <v>0</v>
      </c>
      <c r="E30" s="70"/>
      <c r="F30" s="71"/>
      <c r="G30" s="70"/>
      <c r="H30" s="71"/>
      <c r="I30" s="73"/>
      <c r="J30" s="74"/>
      <c r="K30" s="74"/>
      <c r="L30" s="74"/>
    </row>
    <row r="31" spans="1:15" ht="15" x14ac:dyDescent="0.25">
      <c r="A31" s="27"/>
      <c r="B31" s="27"/>
      <c r="C31" s="27"/>
      <c r="D31" s="130">
        <f t="shared" si="0"/>
        <v>0</v>
      </c>
      <c r="E31" s="70"/>
      <c r="F31" s="71"/>
      <c r="G31" s="70"/>
      <c r="H31" s="71"/>
      <c r="I31" s="73"/>
      <c r="J31" s="74"/>
      <c r="K31" s="74"/>
      <c r="L31" s="74"/>
    </row>
    <row r="32" spans="1:15" ht="15" x14ac:dyDescent="0.25">
      <c r="A32" s="27"/>
      <c r="B32" s="27"/>
      <c r="C32" s="27"/>
      <c r="D32" s="130">
        <f t="shared" si="0"/>
        <v>0</v>
      </c>
      <c r="E32" s="70"/>
      <c r="F32" s="71"/>
      <c r="G32" s="70"/>
      <c r="H32" s="71"/>
      <c r="I32" s="73"/>
      <c r="J32" s="74"/>
      <c r="K32" s="74"/>
      <c r="L32" s="74"/>
    </row>
    <row r="33" spans="1:12" ht="15" x14ac:dyDescent="0.25">
      <c r="A33" s="27"/>
      <c r="B33" s="27"/>
      <c r="C33" s="27"/>
      <c r="D33" s="130">
        <f t="shared" si="0"/>
        <v>0</v>
      </c>
      <c r="E33" s="70"/>
      <c r="F33" s="71"/>
      <c r="G33" s="70"/>
      <c r="H33" s="71"/>
      <c r="I33" s="73"/>
      <c r="J33" s="74"/>
      <c r="K33" s="74"/>
      <c r="L33" s="74"/>
    </row>
    <row r="34" spans="1:12" ht="15" x14ac:dyDescent="0.25">
      <c r="A34" s="27"/>
      <c r="B34" s="27"/>
      <c r="C34" s="27"/>
      <c r="D34" s="130">
        <f t="shared" si="0"/>
        <v>0</v>
      </c>
      <c r="E34" s="70"/>
      <c r="F34" s="71"/>
      <c r="G34" s="70"/>
      <c r="H34" s="71"/>
      <c r="I34" s="73"/>
      <c r="J34" s="74"/>
      <c r="K34" s="74"/>
      <c r="L34" s="74"/>
    </row>
    <row r="35" spans="1:12" ht="15" x14ac:dyDescent="0.25">
      <c r="A35" s="27"/>
      <c r="B35" s="27"/>
      <c r="C35" s="27"/>
      <c r="D35" s="130">
        <f t="shared" si="0"/>
        <v>0</v>
      </c>
      <c r="E35" s="70"/>
      <c r="F35" s="71"/>
      <c r="G35" s="70"/>
      <c r="H35" s="71"/>
      <c r="I35" s="73"/>
      <c r="J35" s="74"/>
      <c r="K35" s="74"/>
      <c r="L35" s="74"/>
    </row>
    <row r="36" spans="1:12" ht="15" x14ac:dyDescent="0.25">
      <c r="A36" s="27"/>
      <c r="B36" s="27"/>
      <c r="C36" s="27"/>
      <c r="D36" s="130">
        <f t="shared" si="0"/>
        <v>0</v>
      </c>
      <c r="E36" s="70"/>
      <c r="F36" s="71"/>
      <c r="G36" s="70"/>
      <c r="H36" s="71"/>
      <c r="I36" s="73"/>
      <c r="J36" s="74"/>
      <c r="K36" s="74"/>
      <c r="L36" s="74"/>
    </row>
    <row r="37" spans="1:12" ht="15" x14ac:dyDescent="0.25">
      <c r="A37" s="27"/>
      <c r="B37" s="27"/>
      <c r="C37" s="27"/>
      <c r="D37" s="130">
        <f t="shared" si="0"/>
        <v>0</v>
      </c>
      <c r="E37" s="70"/>
      <c r="F37" s="71"/>
      <c r="G37" s="70"/>
      <c r="H37" s="71"/>
      <c r="I37" s="73"/>
      <c r="J37" s="74"/>
      <c r="K37" s="74"/>
      <c r="L37" s="74"/>
    </row>
    <row r="38" spans="1:12" ht="15" x14ac:dyDescent="0.25">
      <c r="A38" s="27"/>
      <c r="B38" s="27"/>
      <c r="C38" s="27"/>
      <c r="D38" s="130">
        <f t="shared" si="0"/>
        <v>0</v>
      </c>
      <c r="E38" s="70"/>
      <c r="F38" s="71"/>
      <c r="G38" s="70"/>
      <c r="H38" s="71"/>
      <c r="I38" s="73"/>
      <c r="J38" s="74"/>
      <c r="K38" s="74"/>
      <c r="L38" s="74"/>
    </row>
    <row r="39" spans="1:12" ht="15" x14ac:dyDescent="0.25">
      <c r="A39" s="27"/>
      <c r="B39" s="27"/>
      <c r="C39" s="27"/>
      <c r="D39" s="130">
        <f t="shared" si="0"/>
        <v>0</v>
      </c>
      <c r="E39" s="70"/>
      <c r="F39" s="71"/>
      <c r="G39" s="70"/>
      <c r="H39" s="71"/>
      <c r="I39" s="73"/>
      <c r="J39" s="74"/>
      <c r="K39" s="74"/>
      <c r="L39" s="74"/>
    </row>
    <row r="40" spans="1:12" ht="15" x14ac:dyDescent="0.25">
      <c r="A40" s="27"/>
      <c r="B40" s="27"/>
      <c r="C40" s="27"/>
      <c r="D40" s="130">
        <f t="shared" si="0"/>
        <v>0</v>
      </c>
      <c r="E40" s="70"/>
      <c r="F40" s="71"/>
      <c r="G40" s="70"/>
      <c r="H40" s="71"/>
      <c r="I40" s="73"/>
      <c r="J40" s="74"/>
      <c r="K40" s="74"/>
      <c r="L40" s="74"/>
    </row>
    <row r="41" spans="1:12" x14ac:dyDescent="0.3">
      <c r="A41" s="27"/>
      <c r="B41" s="27"/>
      <c r="C41" s="27"/>
      <c r="D41" s="130">
        <f t="shared" si="0"/>
        <v>0</v>
      </c>
      <c r="E41" s="70"/>
      <c r="F41" s="71"/>
      <c r="G41" s="70"/>
      <c r="H41" s="71"/>
      <c r="I41" s="73"/>
      <c r="J41" s="74"/>
      <c r="K41" s="74"/>
      <c r="L41" s="74"/>
    </row>
    <row r="42" spans="1:12" x14ac:dyDescent="0.3">
      <c r="A42" s="27"/>
      <c r="B42" s="27"/>
      <c r="C42" s="27"/>
      <c r="D42" s="130">
        <f t="shared" si="0"/>
        <v>0</v>
      </c>
      <c r="E42" s="70"/>
      <c r="F42" s="71"/>
      <c r="G42" s="70"/>
      <c r="H42" s="71"/>
      <c r="I42" s="73"/>
      <c r="J42" s="74"/>
      <c r="K42" s="74"/>
      <c r="L42" s="74"/>
    </row>
    <row r="43" spans="1:12" x14ac:dyDescent="0.3">
      <c r="A43" s="27"/>
      <c r="B43" s="27"/>
      <c r="C43" s="27"/>
      <c r="D43" s="130">
        <f t="shared" si="0"/>
        <v>0</v>
      </c>
      <c r="E43" s="70"/>
      <c r="F43" s="71"/>
      <c r="G43" s="70"/>
      <c r="H43" s="71"/>
      <c r="I43" s="73"/>
      <c r="J43" s="74"/>
      <c r="K43" s="74"/>
      <c r="L43" s="74"/>
    </row>
    <row r="44" spans="1:12" x14ac:dyDescent="0.3">
      <c r="A44" s="27"/>
      <c r="B44" s="27"/>
      <c r="C44" s="27"/>
      <c r="D44" s="130">
        <f t="shared" si="0"/>
        <v>0</v>
      </c>
      <c r="E44" s="70"/>
      <c r="F44" s="71"/>
      <c r="G44" s="70"/>
      <c r="H44" s="71"/>
      <c r="I44" s="73"/>
      <c r="J44" s="74"/>
      <c r="K44" s="74"/>
      <c r="L44" s="74"/>
    </row>
    <row r="45" spans="1:12" x14ac:dyDescent="0.3">
      <c r="A45" s="27"/>
      <c r="B45" s="27"/>
      <c r="C45" s="27"/>
      <c r="D45" s="130">
        <f t="shared" si="0"/>
        <v>0</v>
      </c>
      <c r="E45" s="70"/>
      <c r="F45" s="71"/>
      <c r="G45" s="70"/>
      <c r="H45" s="71"/>
      <c r="I45" s="73"/>
      <c r="J45" s="74"/>
      <c r="K45" s="74"/>
      <c r="L45" s="74"/>
    </row>
    <row r="46" spans="1:12" x14ac:dyDescent="0.3">
      <c r="A46" s="27"/>
      <c r="B46" s="27"/>
      <c r="C46" s="27"/>
      <c r="D46" s="130">
        <f t="shared" si="0"/>
        <v>0</v>
      </c>
      <c r="E46" s="70"/>
      <c r="F46" s="71"/>
      <c r="G46" s="70"/>
      <c r="H46" s="71"/>
      <c r="I46" s="73"/>
      <c r="J46" s="74"/>
      <c r="K46" s="74"/>
      <c r="L46" s="74"/>
    </row>
    <row r="47" spans="1:12" x14ac:dyDescent="0.3">
      <c r="A47" s="27"/>
      <c r="B47" s="27"/>
      <c r="C47" s="27"/>
      <c r="D47" s="130">
        <f t="shared" si="0"/>
        <v>0</v>
      </c>
      <c r="E47" s="70"/>
      <c r="F47" s="71"/>
      <c r="G47" s="70"/>
      <c r="H47" s="71"/>
      <c r="I47" s="73"/>
      <c r="J47" s="74"/>
      <c r="K47" s="74"/>
      <c r="L47" s="74"/>
    </row>
    <row r="48" spans="1:12" x14ac:dyDescent="0.3">
      <c r="A48" s="27"/>
      <c r="B48" s="27"/>
      <c r="C48" s="27"/>
      <c r="D48" s="130">
        <f t="shared" si="0"/>
        <v>0</v>
      </c>
      <c r="E48" s="70"/>
      <c r="F48" s="71"/>
      <c r="G48" s="70"/>
      <c r="H48" s="71"/>
      <c r="I48" s="73"/>
      <c r="J48" s="74"/>
      <c r="K48" s="74"/>
      <c r="L48" s="74"/>
    </row>
    <row r="49" spans="1:12" x14ac:dyDescent="0.3">
      <c r="A49" s="27"/>
      <c r="B49" s="27"/>
      <c r="C49" s="27"/>
      <c r="D49" s="130">
        <f t="shared" si="0"/>
        <v>0</v>
      </c>
      <c r="E49" s="70"/>
      <c r="F49" s="71"/>
      <c r="G49" s="70"/>
      <c r="H49" s="71"/>
      <c r="I49" s="73"/>
      <c r="J49" s="74"/>
      <c r="K49" s="74"/>
      <c r="L49" s="74"/>
    </row>
    <row r="50" spans="1:12" x14ac:dyDescent="0.3">
      <c r="A50" s="27"/>
      <c r="B50" s="27"/>
      <c r="C50" s="27"/>
      <c r="D50" s="130">
        <f t="shared" si="0"/>
        <v>0</v>
      </c>
      <c r="E50" s="70"/>
      <c r="F50" s="71"/>
      <c r="G50" s="70"/>
      <c r="H50" s="71"/>
      <c r="I50" s="73"/>
      <c r="J50" s="74"/>
      <c r="K50" s="74"/>
      <c r="L50" s="74"/>
    </row>
    <row r="51" spans="1:12" x14ac:dyDescent="0.3">
      <c r="A51" s="27"/>
      <c r="B51" s="27"/>
      <c r="C51" s="27"/>
      <c r="D51" s="130">
        <f t="shared" si="0"/>
        <v>0</v>
      </c>
      <c r="E51" s="70"/>
      <c r="F51" s="71"/>
      <c r="G51" s="70"/>
      <c r="H51" s="71"/>
      <c r="I51" s="73"/>
      <c r="J51" s="74"/>
      <c r="K51" s="74"/>
      <c r="L51" s="74"/>
    </row>
    <row r="52" spans="1:12" x14ac:dyDescent="0.3">
      <c r="A52" s="27"/>
      <c r="B52" s="27"/>
      <c r="C52" s="27"/>
      <c r="D52" s="130">
        <f t="shared" si="0"/>
        <v>0</v>
      </c>
      <c r="E52" s="70"/>
      <c r="F52" s="71"/>
      <c r="G52" s="70"/>
      <c r="H52" s="71"/>
      <c r="I52" s="73"/>
      <c r="J52" s="74"/>
      <c r="K52" s="74"/>
      <c r="L52" s="74"/>
    </row>
    <row r="53" spans="1:12" x14ac:dyDescent="0.3">
      <c r="A53" s="27"/>
      <c r="B53" s="27"/>
      <c r="C53" s="27"/>
      <c r="D53" s="130">
        <f t="shared" si="0"/>
        <v>0</v>
      </c>
      <c r="E53" s="70"/>
      <c r="F53" s="71"/>
      <c r="G53" s="70"/>
      <c r="H53" s="71"/>
      <c r="I53" s="73"/>
      <c r="J53" s="74"/>
      <c r="K53" s="74"/>
      <c r="L53" s="74"/>
    </row>
    <row r="54" spans="1:12" x14ac:dyDescent="0.3">
      <c r="A54" s="27"/>
      <c r="B54" s="27"/>
      <c r="C54" s="27"/>
      <c r="D54" s="130">
        <f t="shared" si="0"/>
        <v>0</v>
      </c>
      <c r="E54" s="70"/>
      <c r="F54" s="71"/>
      <c r="G54" s="70"/>
      <c r="H54" s="71"/>
      <c r="I54" s="73"/>
      <c r="J54" s="74"/>
      <c r="K54" s="74"/>
      <c r="L54" s="74"/>
    </row>
    <row r="55" spans="1:12" x14ac:dyDescent="0.3">
      <c r="A55" s="27"/>
      <c r="B55" s="27"/>
      <c r="C55" s="27"/>
      <c r="D55" s="130">
        <f t="shared" si="0"/>
        <v>0</v>
      </c>
      <c r="E55" s="70"/>
      <c r="F55" s="71"/>
      <c r="G55" s="70"/>
      <c r="H55" s="71"/>
      <c r="I55" s="73"/>
      <c r="J55" s="74"/>
      <c r="K55" s="74"/>
      <c r="L55" s="74"/>
    </row>
    <row r="56" spans="1:12" x14ac:dyDescent="0.3">
      <c r="A56" s="27"/>
      <c r="B56" s="27"/>
      <c r="C56" s="27"/>
      <c r="D56" s="130">
        <f t="shared" si="0"/>
        <v>0</v>
      </c>
      <c r="E56" s="70"/>
      <c r="F56" s="71"/>
      <c r="G56" s="70"/>
      <c r="H56" s="71"/>
      <c r="I56" s="73"/>
      <c r="J56" s="74"/>
      <c r="K56" s="74"/>
      <c r="L56" s="74"/>
    </row>
    <row r="57" spans="1:12" x14ac:dyDescent="0.3">
      <c r="A57" s="27"/>
      <c r="B57" s="27"/>
      <c r="C57" s="27"/>
      <c r="D57" s="130">
        <f t="shared" si="0"/>
        <v>0</v>
      </c>
      <c r="E57" s="70"/>
      <c r="F57" s="71"/>
      <c r="G57" s="70"/>
      <c r="H57" s="71"/>
      <c r="I57" s="73"/>
      <c r="J57" s="74"/>
      <c r="K57" s="74"/>
      <c r="L57" s="74"/>
    </row>
    <row r="58" spans="1:12" x14ac:dyDescent="0.3">
      <c r="A58" s="27"/>
      <c r="B58" s="27"/>
      <c r="C58" s="27"/>
      <c r="D58" s="130">
        <f t="shared" si="0"/>
        <v>0</v>
      </c>
      <c r="E58" s="70"/>
      <c r="F58" s="71"/>
      <c r="G58" s="70"/>
      <c r="H58" s="71"/>
      <c r="I58" s="73"/>
      <c r="J58" s="74"/>
      <c r="K58" s="74"/>
      <c r="L58" s="74"/>
    </row>
    <row r="59" spans="1:12" x14ac:dyDescent="0.3">
      <c r="A59" s="27"/>
      <c r="B59" s="27"/>
      <c r="C59" s="27"/>
      <c r="D59" s="130">
        <f t="shared" si="0"/>
        <v>0</v>
      </c>
      <c r="E59" s="70"/>
      <c r="F59" s="71"/>
      <c r="G59" s="70"/>
      <c r="H59" s="71"/>
      <c r="I59" s="73"/>
      <c r="J59" s="74"/>
      <c r="K59" s="74"/>
      <c r="L59" s="74"/>
    </row>
    <row r="60" spans="1:12" x14ac:dyDescent="0.3">
      <c r="A60" s="27"/>
      <c r="B60" s="27"/>
      <c r="C60" s="27"/>
      <c r="D60" s="130">
        <f t="shared" si="0"/>
        <v>0</v>
      </c>
      <c r="E60" s="70"/>
      <c r="F60" s="71"/>
      <c r="G60" s="70"/>
      <c r="H60" s="71"/>
      <c r="I60" s="73"/>
      <c r="J60" s="74"/>
      <c r="K60" s="74"/>
      <c r="L60" s="74"/>
    </row>
    <row r="61" spans="1:12" x14ac:dyDescent="0.3">
      <c r="A61" s="27"/>
      <c r="B61" s="27"/>
      <c r="C61" s="27"/>
      <c r="D61" s="130">
        <f t="shared" si="0"/>
        <v>0</v>
      </c>
      <c r="E61" s="70"/>
      <c r="F61" s="71"/>
      <c r="G61" s="70"/>
      <c r="H61" s="71"/>
      <c r="I61" s="73"/>
      <c r="J61" s="74"/>
      <c r="K61" s="74"/>
      <c r="L61" s="74"/>
    </row>
    <row r="62" spans="1:12" x14ac:dyDescent="0.3">
      <c r="A62" s="27"/>
      <c r="B62" s="27"/>
      <c r="C62" s="27"/>
      <c r="D62" s="130">
        <f t="shared" si="0"/>
        <v>0</v>
      </c>
      <c r="E62" s="70"/>
      <c r="F62" s="71"/>
      <c r="G62" s="70"/>
      <c r="H62" s="71"/>
      <c r="I62" s="73"/>
      <c r="J62" s="74"/>
      <c r="K62" s="74"/>
      <c r="L62" s="74"/>
    </row>
    <row r="63" spans="1:12" x14ac:dyDescent="0.3">
      <c r="A63" s="27"/>
      <c r="B63" s="27"/>
      <c r="C63" s="27"/>
      <c r="D63" s="130">
        <f t="shared" si="0"/>
        <v>0</v>
      </c>
      <c r="E63" s="70"/>
      <c r="F63" s="71"/>
      <c r="G63" s="70"/>
      <c r="H63" s="71"/>
      <c r="I63" s="73"/>
      <c r="J63" s="74"/>
      <c r="K63" s="74"/>
      <c r="L63" s="74"/>
    </row>
    <row r="64" spans="1:12" x14ac:dyDescent="0.3">
      <c r="A64" s="27"/>
      <c r="B64" s="27"/>
      <c r="C64" s="27"/>
      <c r="D64" s="130">
        <f t="shared" si="0"/>
        <v>0</v>
      </c>
      <c r="E64" s="70"/>
      <c r="F64" s="71"/>
      <c r="G64" s="70"/>
      <c r="H64" s="71"/>
      <c r="I64" s="73"/>
      <c r="J64" s="74"/>
      <c r="K64" s="74"/>
      <c r="L64" s="74"/>
    </row>
    <row r="65" spans="1:12" x14ac:dyDescent="0.3">
      <c r="A65" s="27"/>
      <c r="B65" s="27"/>
      <c r="C65" s="27"/>
      <c r="D65" s="130">
        <f t="shared" si="0"/>
        <v>0</v>
      </c>
      <c r="E65" s="70"/>
      <c r="F65" s="71"/>
      <c r="G65" s="70"/>
      <c r="H65" s="71"/>
      <c r="I65" s="73"/>
      <c r="J65" s="74"/>
      <c r="K65" s="74"/>
      <c r="L65" s="74"/>
    </row>
    <row r="66" spans="1:12" x14ac:dyDescent="0.3">
      <c r="A66" s="27"/>
      <c r="B66" s="27"/>
      <c r="C66" s="27"/>
      <c r="D66" s="130">
        <f t="shared" si="0"/>
        <v>0</v>
      </c>
      <c r="E66" s="70"/>
      <c r="F66" s="71"/>
      <c r="G66" s="70"/>
      <c r="H66" s="71"/>
      <c r="I66" s="73"/>
      <c r="J66" s="74"/>
      <c r="K66" s="74"/>
      <c r="L66" s="74"/>
    </row>
    <row r="67" spans="1:12" x14ac:dyDescent="0.3">
      <c r="A67" s="27"/>
      <c r="B67" s="27"/>
      <c r="C67" s="27"/>
      <c r="D67" s="130">
        <f t="shared" si="0"/>
        <v>0</v>
      </c>
      <c r="E67" s="70"/>
      <c r="F67" s="71"/>
      <c r="G67" s="70"/>
      <c r="H67" s="71"/>
      <c r="I67" s="73"/>
      <c r="J67" s="74"/>
      <c r="K67" s="74"/>
      <c r="L67" s="74"/>
    </row>
    <row r="68" spans="1:12" x14ac:dyDescent="0.3">
      <c r="A68" s="27"/>
      <c r="B68" s="27"/>
      <c r="C68" s="27"/>
      <c r="D68" s="130">
        <f t="shared" si="0"/>
        <v>0</v>
      </c>
      <c r="E68" s="70"/>
      <c r="F68" s="71"/>
      <c r="G68" s="70"/>
      <c r="H68" s="71"/>
      <c r="I68" s="73"/>
      <c r="J68" s="74"/>
      <c r="K68" s="74"/>
      <c r="L68" s="74"/>
    </row>
    <row r="69" spans="1:12" x14ac:dyDescent="0.3">
      <c r="A69" s="27"/>
      <c r="B69" s="27"/>
      <c r="C69" s="27"/>
      <c r="D69" s="130">
        <f t="shared" si="0"/>
        <v>0</v>
      </c>
      <c r="E69" s="70"/>
      <c r="F69" s="71"/>
      <c r="G69" s="70"/>
      <c r="H69" s="71"/>
      <c r="I69" s="73"/>
      <c r="J69" s="74"/>
      <c r="K69" s="74"/>
      <c r="L69" s="74"/>
    </row>
    <row r="70" spans="1:12" x14ac:dyDescent="0.3">
      <c r="A70" s="27"/>
      <c r="B70" s="27"/>
      <c r="C70" s="27"/>
      <c r="D70" s="130">
        <f t="shared" si="0"/>
        <v>0</v>
      </c>
      <c r="E70" s="70"/>
      <c r="F70" s="71"/>
      <c r="G70" s="70"/>
      <c r="H70" s="71"/>
      <c r="I70" s="73"/>
      <c r="J70" s="74"/>
      <c r="K70" s="74"/>
      <c r="L70" s="74"/>
    </row>
    <row r="71" spans="1:12" x14ac:dyDescent="0.3">
      <c r="A71" s="27"/>
      <c r="B71" s="27"/>
      <c r="C71" s="27"/>
      <c r="D71" s="130">
        <f t="shared" si="0"/>
        <v>0</v>
      </c>
      <c r="E71" s="70"/>
      <c r="F71" s="71"/>
      <c r="G71" s="70"/>
      <c r="H71" s="71"/>
      <c r="I71" s="73"/>
      <c r="J71" s="74"/>
      <c r="K71" s="74"/>
      <c r="L71" s="74"/>
    </row>
    <row r="72" spans="1:12" x14ac:dyDescent="0.3">
      <c r="A72" s="27"/>
      <c r="B72" s="27"/>
      <c r="C72" s="27"/>
      <c r="D72" s="130">
        <f t="shared" ref="D72:D135" si="3">B72*$F$2+C72*$F$3</f>
        <v>0</v>
      </c>
      <c r="E72" s="70"/>
      <c r="F72" s="71"/>
      <c r="G72" s="70"/>
      <c r="H72" s="71"/>
      <c r="I72" s="73"/>
      <c r="J72" s="74"/>
      <c r="K72" s="74"/>
      <c r="L72" s="74"/>
    </row>
    <row r="73" spans="1:12" x14ac:dyDescent="0.3">
      <c r="A73" s="27"/>
      <c r="B73" s="27"/>
      <c r="C73" s="27"/>
      <c r="D73" s="130">
        <f t="shared" si="3"/>
        <v>0</v>
      </c>
      <c r="E73" s="70"/>
      <c r="F73" s="71"/>
      <c r="G73" s="70"/>
      <c r="H73" s="71"/>
      <c r="I73" s="73"/>
      <c r="J73" s="74"/>
      <c r="K73" s="74"/>
      <c r="L73" s="74"/>
    </row>
    <row r="74" spans="1:12" x14ac:dyDescent="0.3">
      <c r="A74" s="27"/>
      <c r="B74" s="27"/>
      <c r="C74" s="27"/>
      <c r="D74" s="130">
        <f t="shared" si="3"/>
        <v>0</v>
      </c>
      <c r="E74" s="70"/>
      <c r="F74" s="71"/>
      <c r="G74" s="70"/>
      <c r="H74" s="71"/>
      <c r="I74" s="73"/>
      <c r="J74" s="74"/>
      <c r="K74" s="74"/>
      <c r="L74" s="74"/>
    </row>
    <row r="75" spans="1:12" x14ac:dyDescent="0.3">
      <c r="A75" s="27"/>
      <c r="B75" s="27"/>
      <c r="C75" s="27"/>
      <c r="D75" s="130">
        <f t="shared" si="3"/>
        <v>0</v>
      </c>
      <c r="E75" s="70"/>
      <c r="F75" s="71"/>
      <c r="G75" s="70"/>
      <c r="H75" s="71"/>
      <c r="I75" s="73"/>
      <c r="J75" s="74"/>
      <c r="K75" s="74"/>
      <c r="L75" s="74"/>
    </row>
    <row r="76" spans="1:12" x14ac:dyDescent="0.3">
      <c r="A76" s="27"/>
      <c r="B76" s="27"/>
      <c r="C76" s="27"/>
      <c r="D76" s="130">
        <f t="shared" si="3"/>
        <v>0</v>
      </c>
      <c r="E76" s="70"/>
      <c r="F76" s="71"/>
      <c r="G76" s="70"/>
      <c r="H76" s="71"/>
      <c r="I76" s="73"/>
      <c r="J76" s="74"/>
      <c r="K76" s="74"/>
      <c r="L76" s="74"/>
    </row>
    <row r="77" spans="1:12" x14ac:dyDescent="0.3">
      <c r="A77" s="27"/>
      <c r="B77" s="27"/>
      <c r="C77" s="27"/>
      <c r="D77" s="130">
        <f t="shared" si="3"/>
        <v>0</v>
      </c>
      <c r="E77" s="70"/>
      <c r="F77" s="71"/>
      <c r="G77" s="70"/>
      <c r="H77" s="71"/>
      <c r="I77" s="73"/>
      <c r="J77" s="74"/>
      <c r="K77" s="74"/>
      <c r="L77" s="74"/>
    </row>
    <row r="78" spans="1:12" x14ac:dyDescent="0.3">
      <c r="A78" s="27"/>
      <c r="B78" s="27"/>
      <c r="C78" s="27"/>
      <c r="D78" s="130">
        <f t="shared" si="3"/>
        <v>0</v>
      </c>
      <c r="E78" s="70"/>
      <c r="F78" s="71"/>
      <c r="G78" s="70"/>
      <c r="H78" s="71"/>
      <c r="I78" s="73"/>
      <c r="J78" s="74"/>
      <c r="K78" s="74"/>
      <c r="L78" s="74"/>
    </row>
    <row r="79" spans="1:12" x14ac:dyDescent="0.3">
      <c r="A79" s="27"/>
      <c r="B79" s="27"/>
      <c r="C79" s="27"/>
      <c r="D79" s="130">
        <f t="shared" si="3"/>
        <v>0</v>
      </c>
      <c r="E79" s="70"/>
      <c r="F79" s="71"/>
      <c r="G79" s="70"/>
      <c r="H79" s="71"/>
      <c r="I79" s="73"/>
      <c r="J79" s="74"/>
      <c r="K79" s="74"/>
      <c r="L79" s="74"/>
    </row>
    <row r="80" spans="1:12" x14ac:dyDescent="0.3">
      <c r="A80" s="27"/>
      <c r="B80" s="27"/>
      <c r="C80" s="27"/>
      <c r="D80" s="130">
        <f t="shared" si="3"/>
        <v>0</v>
      </c>
      <c r="E80" s="70"/>
      <c r="F80" s="71"/>
      <c r="G80" s="70"/>
      <c r="H80" s="71"/>
      <c r="I80" s="73"/>
      <c r="J80" s="74"/>
      <c r="K80" s="74"/>
      <c r="L80" s="74"/>
    </row>
    <row r="81" spans="1:12" x14ac:dyDescent="0.3">
      <c r="A81" s="27"/>
      <c r="B81" s="27"/>
      <c r="C81" s="27"/>
      <c r="D81" s="130">
        <f t="shared" si="3"/>
        <v>0</v>
      </c>
      <c r="E81" s="70"/>
      <c r="F81" s="71"/>
      <c r="G81" s="70"/>
      <c r="H81" s="71"/>
      <c r="I81" s="73"/>
      <c r="J81" s="74"/>
      <c r="K81" s="74"/>
      <c r="L81" s="74"/>
    </row>
    <row r="82" spans="1:12" x14ac:dyDescent="0.3">
      <c r="A82" s="27"/>
      <c r="B82" s="27"/>
      <c r="C82" s="27"/>
      <c r="D82" s="130">
        <f t="shared" si="3"/>
        <v>0</v>
      </c>
      <c r="E82" s="70"/>
      <c r="F82" s="71"/>
      <c r="G82" s="70"/>
      <c r="H82" s="71"/>
      <c r="I82" s="73"/>
      <c r="J82" s="74"/>
      <c r="K82" s="74"/>
      <c r="L82" s="74"/>
    </row>
    <row r="83" spans="1:12" x14ac:dyDescent="0.3">
      <c r="A83" s="27"/>
      <c r="B83" s="27"/>
      <c r="C83" s="27"/>
      <c r="D83" s="130">
        <f t="shared" si="3"/>
        <v>0</v>
      </c>
      <c r="E83" s="70"/>
      <c r="F83" s="71"/>
      <c r="G83" s="70"/>
      <c r="H83" s="71"/>
      <c r="I83" s="73"/>
      <c r="J83" s="74"/>
      <c r="K83" s="74"/>
      <c r="L83" s="74"/>
    </row>
    <row r="84" spans="1:12" x14ac:dyDescent="0.3">
      <c r="A84" s="27"/>
      <c r="B84" s="27"/>
      <c r="C84" s="27"/>
      <c r="D84" s="130">
        <f t="shared" si="3"/>
        <v>0</v>
      </c>
      <c r="E84" s="70"/>
      <c r="F84" s="71"/>
      <c r="G84" s="70"/>
      <c r="H84" s="71"/>
      <c r="I84" s="73"/>
      <c r="J84" s="74"/>
      <c r="K84" s="74"/>
      <c r="L84" s="74"/>
    </row>
    <row r="85" spans="1:12" x14ac:dyDescent="0.3">
      <c r="A85" s="27"/>
      <c r="B85" s="27"/>
      <c r="C85" s="27"/>
      <c r="D85" s="130">
        <f t="shared" si="3"/>
        <v>0</v>
      </c>
      <c r="E85" s="70"/>
      <c r="F85" s="71"/>
      <c r="G85" s="70"/>
      <c r="H85" s="71"/>
      <c r="I85" s="73"/>
      <c r="J85" s="74"/>
      <c r="K85" s="74"/>
      <c r="L85" s="74"/>
    </row>
    <row r="86" spans="1:12" x14ac:dyDescent="0.3">
      <c r="A86" s="27"/>
      <c r="B86" s="27"/>
      <c r="C86" s="27"/>
      <c r="D86" s="130">
        <f t="shared" si="3"/>
        <v>0</v>
      </c>
      <c r="E86" s="70"/>
      <c r="F86" s="71"/>
      <c r="G86" s="70"/>
      <c r="H86" s="71"/>
      <c r="I86" s="73"/>
      <c r="J86" s="74"/>
      <c r="K86" s="74"/>
      <c r="L86" s="74"/>
    </row>
    <row r="87" spans="1:12" x14ac:dyDescent="0.3">
      <c r="A87" s="27"/>
      <c r="B87" s="27"/>
      <c r="C87" s="27"/>
      <c r="D87" s="130">
        <f t="shared" si="3"/>
        <v>0</v>
      </c>
      <c r="E87" s="70"/>
      <c r="F87" s="71"/>
      <c r="G87" s="70"/>
      <c r="H87" s="71"/>
      <c r="I87" s="73"/>
      <c r="J87" s="74"/>
      <c r="K87" s="74"/>
      <c r="L87" s="74"/>
    </row>
    <row r="88" spans="1:12" x14ac:dyDescent="0.3">
      <c r="A88" s="27"/>
      <c r="B88" s="27"/>
      <c r="C88" s="27"/>
      <c r="D88" s="130">
        <f t="shared" si="3"/>
        <v>0</v>
      </c>
      <c r="E88" s="70"/>
      <c r="F88" s="71"/>
      <c r="G88" s="70"/>
      <c r="H88" s="71"/>
      <c r="I88" s="73"/>
      <c r="J88" s="74"/>
      <c r="K88" s="74"/>
      <c r="L88" s="74"/>
    </row>
    <row r="89" spans="1:12" x14ac:dyDescent="0.3">
      <c r="A89" s="27"/>
      <c r="B89" s="27"/>
      <c r="C89" s="27"/>
      <c r="D89" s="130">
        <f t="shared" si="3"/>
        <v>0</v>
      </c>
      <c r="E89" s="70"/>
      <c r="F89" s="71"/>
      <c r="G89" s="70"/>
      <c r="H89" s="71"/>
      <c r="I89" s="73"/>
      <c r="J89" s="74"/>
      <c r="K89" s="74"/>
      <c r="L89" s="74"/>
    </row>
    <row r="90" spans="1:12" x14ac:dyDescent="0.3">
      <c r="A90" s="27"/>
      <c r="B90" s="27"/>
      <c r="C90" s="27"/>
      <c r="D90" s="130">
        <f t="shared" si="3"/>
        <v>0</v>
      </c>
      <c r="E90" s="70"/>
      <c r="F90" s="71"/>
      <c r="G90" s="70"/>
      <c r="H90" s="71"/>
      <c r="I90" s="73"/>
      <c r="J90" s="74"/>
      <c r="K90" s="74"/>
      <c r="L90" s="74"/>
    </row>
    <row r="91" spans="1:12" x14ac:dyDescent="0.3">
      <c r="A91" s="27"/>
      <c r="B91" s="27"/>
      <c r="C91" s="27"/>
      <c r="D91" s="130">
        <f t="shared" si="3"/>
        <v>0</v>
      </c>
      <c r="E91" s="70"/>
      <c r="F91" s="71"/>
      <c r="G91" s="70"/>
      <c r="H91" s="71"/>
      <c r="I91" s="73"/>
      <c r="J91" s="74"/>
      <c r="K91" s="74"/>
      <c r="L91" s="74"/>
    </row>
    <row r="92" spans="1:12" x14ac:dyDescent="0.3">
      <c r="A92" s="27"/>
      <c r="B92" s="27"/>
      <c r="C92" s="27"/>
      <c r="D92" s="130">
        <f t="shared" si="3"/>
        <v>0</v>
      </c>
      <c r="E92" s="70"/>
      <c r="F92" s="71"/>
      <c r="G92" s="70"/>
      <c r="H92" s="71"/>
      <c r="I92" s="73"/>
      <c r="J92" s="74"/>
      <c r="K92" s="74"/>
      <c r="L92" s="74"/>
    </row>
    <row r="93" spans="1:12" x14ac:dyDescent="0.3">
      <c r="A93" s="27"/>
      <c r="B93" s="27"/>
      <c r="C93" s="27"/>
      <c r="D93" s="130">
        <f t="shared" si="3"/>
        <v>0</v>
      </c>
      <c r="E93" s="70"/>
      <c r="F93" s="71"/>
      <c r="G93" s="70"/>
      <c r="H93" s="71"/>
      <c r="I93" s="73"/>
      <c r="J93" s="74"/>
      <c r="K93" s="74"/>
      <c r="L93" s="74"/>
    </row>
    <row r="94" spans="1:12" x14ac:dyDescent="0.3">
      <c r="A94" s="27"/>
      <c r="B94" s="27"/>
      <c r="C94" s="27"/>
      <c r="D94" s="130">
        <f t="shared" si="3"/>
        <v>0</v>
      </c>
      <c r="E94" s="70"/>
      <c r="F94" s="71"/>
      <c r="G94" s="70"/>
      <c r="H94" s="71"/>
      <c r="I94" s="73"/>
      <c r="J94" s="74"/>
      <c r="K94" s="74"/>
      <c r="L94" s="74"/>
    </row>
    <row r="95" spans="1:12" x14ac:dyDescent="0.3">
      <c r="A95" s="27"/>
      <c r="B95" s="27"/>
      <c r="C95" s="27"/>
      <c r="D95" s="130">
        <f t="shared" si="3"/>
        <v>0</v>
      </c>
      <c r="E95" s="70"/>
      <c r="F95" s="71"/>
      <c r="G95" s="70"/>
      <c r="H95" s="71"/>
      <c r="I95" s="73"/>
      <c r="J95" s="74"/>
      <c r="K95" s="74"/>
      <c r="L95" s="74"/>
    </row>
    <row r="96" spans="1:12" x14ac:dyDescent="0.3">
      <c r="A96" s="27"/>
      <c r="B96" s="27"/>
      <c r="C96" s="27"/>
      <c r="D96" s="130">
        <f t="shared" si="3"/>
        <v>0</v>
      </c>
      <c r="E96" s="70"/>
      <c r="F96" s="71"/>
      <c r="G96" s="70"/>
      <c r="H96" s="71"/>
      <c r="I96" s="73"/>
      <c r="J96" s="74"/>
      <c r="K96" s="74"/>
      <c r="L96" s="74"/>
    </row>
    <row r="97" spans="1:12" x14ac:dyDescent="0.3">
      <c r="A97" s="27"/>
      <c r="B97" s="27"/>
      <c r="C97" s="27"/>
      <c r="D97" s="130">
        <f t="shared" si="3"/>
        <v>0</v>
      </c>
      <c r="E97" s="70"/>
      <c r="F97" s="71"/>
      <c r="G97" s="70"/>
      <c r="H97" s="71"/>
      <c r="I97" s="73"/>
      <c r="J97" s="74"/>
      <c r="K97" s="74"/>
      <c r="L97" s="74"/>
    </row>
    <row r="98" spans="1:12" x14ac:dyDescent="0.3">
      <c r="A98" s="27"/>
      <c r="B98" s="27"/>
      <c r="C98" s="27"/>
      <c r="D98" s="130">
        <f t="shared" si="3"/>
        <v>0</v>
      </c>
      <c r="E98" s="70"/>
      <c r="F98" s="71"/>
      <c r="G98" s="70"/>
      <c r="H98" s="71"/>
      <c r="I98" s="73"/>
      <c r="J98" s="74"/>
      <c r="K98" s="74"/>
      <c r="L98" s="74"/>
    </row>
    <row r="99" spans="1:12" x14ac:dyDescent="0.3">
      <c r="A99" s="27"/>
      <c r="B99" s="27"/>
      <c r="C99" s="27"/>
      <c r="D99" s="130">
        <f t="shared" si="3"/>
        <v>0</v>
      </c>
      <c r="E99" s="70"/>
      <c r="F99" s="71"/>
      <c r="G99" s="70"/>
      <c r="H99" s="71"/>
      <c r="I99" s="73"/>
      <c r="J99" s="74"/>
      <c r="K99" s="74"/>
      <c r="L99" s="74"/>
    </row>
    <row r="100" spans="1:12" x14ac:dyDescent="0.3">
      <c r="A100" s="27"/>
      <c r="B100" s="27"/>
      <c r="C100" s="27"/>
      <c r="D100" s="130">
        <f t="shared" si="3"/>
        <v>0</v>
      </c>
      <c r="E100" s="70"/>
      <c r="F100" s="71"/>
      <c r="G100" s="70"/>
      <c r="H100" s="71"/>
      <c r="I100" s="73"/>
      <c r="J100" s="74"/>
      <c r="K100" s="74"/>
      <c r="L100" s="74"/>
    </row>
    <row r="101" spans="1:12" x14ac:dyDescent="0.3">
      <c r="A101" s="27"/>
      <c r="B101" s="27"/>
      <c r="C101" s="27"/>
      <c r="D101" s="130">
        <f t="shared" si="3"/>
        <v>0</v>
      </c>
      <c r="E101" s="70"/>
      <c r="F101" s="71"/>
      <c r="G101" s="70"/>
      <c r="H101" s="71"/>
      <c r="I101" s="73"/>
      <c r="J101" s="74"/>
      <c r="K101" s="74"/>
      <c r="L101" s="74"/>
    </row>
    <row r="102" spans="1:12" x14ac:dyDescent="0.3">
      <c r="A102" s="27"/>
      <c r="B102" s="27"/>
      <c r="C102" s="27"/>
      <c r="D102" s="130">
        <f t="shared" si="3"/>
        <v>0</v>
      </c>
      <c r="E102" s="70"/>
      <c r="F102" s="71"/>
      <c r="G102" s="70"/>
      <c r="H102" s="71"/>
      <c r="I102" s="73"/>
      <c r="J102" s="74"/>
      <c r="K102" s="74"/>
      <c r="L102" s="74"/>
    </row>
    <row r="103" spans="1:12" x14ac:dyDescent="0.3">
      <c r="A103" s="27"/>
      <c r="B103" s="27"/>
      <c r="C103" s="27"/>
      <c r="D103" s="130">
        <f t="shared" si="3"/>
        <v>0</v>
      </c>
      <c r="E103" s="70"/>
      <c r="F103" s="71"/>
      <c r="G103" s="70"/>
      <c r="H103" s="71"/>
      <c r="I103" s="73"/>
      <c r="J103" s="74"/>
      <c r="K103" s="74"/>
      <c r="L103" s="74"/>
    </row>
    <row r="104" spans="1:12" x14ac:dyDescent="0.3">
      <c r="A104" s="27"/>
      <c r="B104" s="27"/>
      <c r="C104" s="27"/>
      <c r="D104" s="130">
        <f t="shared" si="3"/>
        <v>0</v>
      </c>
      <c r="E104" s="70"/>
      <c r="F104" s="71"/>
      <c r="G104" s="70"/>
      <c r="H104" s="71"/>
      <c r="I104" s="73"/>
      <c r="J104" s="74"/>
      <c r="K104" s="74"/>
      <c r="L104" s="74"/>
    </row>
    <row r="105" spans="1:12" x14ac:dyDescent="0.3">
      <c r="A105" s="27"/>
      <c r="B105" s="27"/>
      <c r="C105" s="27"/>
      <c r="D105" s="130">
        <f t="shared" si="3"/>
        <v>0</v>
      </c>
      <c r="E105" s="70"/>
      <c r="F105" s="71"/>
      <c r="G105" s="70"/>
      <c r="H105" s="71"/>
      <c r="I105" s="73"/>
      <c r="J105" s="74"/>
      <c r="K105" s="74"/>
      <c r="L105" s="74"/>
    </row>
    <row r="106" spans="1:12" x14ac:dyDescent="0.3">
      <c r="A106" s="27"/>
      <c r="B106" s="27"/>
      <c r="C106" s="27"/>
      <c r="D106" s="130">
        <f t="shared" si="3"/>
        <v>0</v>
      </c>
      <c r="E106" s="70"/>
      <c r="F106" s="71"/>
      <c r="G106" s="70"/>
      <c r="H106" s="71"/>
      <c r="I106" s="73"/>
      <c r="J106" s="74"/>
      <c r="K106" s="74"/>
      <c r="L106" s="74"/>
    </row>
    <row r="107" spans="1:12" x14ac:dyDescent="0.3">
      <c r="A107" s="27"/>
      <c r="B107" s="27"/>
      <c r="C107" s="27"/>
      <c r="D107" s="130">
        <f t="shared" si="3"/>
        <v>0</v>
      </c>
      <c r="E107" s="70"/>
      <c r="F107" s="71"/>
      <c r="G107" s="70"/>
      <c r="H107" s="71"/>
      <c r="I107" s="73"/>
      <c r="J107" s="74"/>
      <c r="K107" s="74"/>
      <c r="L107" s="74"/>
    </row>
    <row r="108" spans="1:12" x14ac:dyDescent="0.3">
      <c r="A108" s="27"/>
      <c r="B108" s="27"/>
      <c r="C108" s="27"/>
      <c r="D108" s="130">
        <f t="shared" si="3"/>
        <v>0</v>
      </c>
      <c r="E108" s="70"/>
      <c r="F108" s="71"/>
      <c r="G108" s="70"/>
      <c r="H108" s="71"/>
      <c r="I108" s="73"/>
      <c r="J108" s="74"/>
      <c r="K108" s="74"/>
      <c r="L108" s="74"/>
    </row>
    <row r="109" spans="1:12" x14ac:dyDescent="0.3">
      <c r="A109" s="27"/>
      <c r="B109" s="27"/>
      <c r="C109" s="27"/>
      <c r="D109" s="130">
        <f t="shared" si="3"/>
        <v>0</v>
      </c>
      <c r="E109" s="70"/>
      <c r="F109" s="71"/>
      <c r="G109" s="70"/>
      <c r="H109" s="71"/>
      <c r="I109" s="73"/>
      <c r="J109" s="74"/>
      <c r="K109" s="74"/>
      <c r="L109" s="74"/>
    </row>
    <row r="110" spans="1:12" x14ac:dyDescent="0.3">
      <c r="A110" s="27"/>
      <c r="B110" s="27"/>
      <c r="C110" s="27"/>
      <c r="D110" s="130">
        <f t="shared" si="3"/>
        <v>0</v>
      </c>
      <c r="E110" s="70"/>
      <c r="F110" s="71"/>
      <c r="G110" s="70"/>
      <c r="H110" s="71"/>
      <c r="I110" s="73"/>
      <c r="J110" s="74"/>
      <c r="K110" s="74"/>
      <c r="L110" s="74"/>
    </row>
    <row r="111" spans="1:12" x14ac:dyDescent="0.3">
      <c r="A111" s="27"/>
      <c r="B111" s="27"/>
      <c r="C111" s="27"/>
      <c r="D111" s="130">
        <f t="shared" si="3"/>
        <v>0</v>
      </c>
      <c r="E111" s="70"/>
      <c r="F111" s="71"/>
      <c r="G111" s="70"/>
      <c r="H111" s="71"/>
      <c r="I111" s="73"/>
      <c r="J111" s="74"/>
      <c r="K111" s="74"/>
      <c r="L111" s="74"/>
    </row>
    <row r="112" spans="1:12" x14ac:dyDescent="0.3">
      <c r="A112" s="27"/>
      <c r="B112" s="27"/>
      <c r="C112" s="27"/>
      <c r="D112" s="130">
        <f t="shared" si="3"/>
        <v>0</v>
      </c>
      <c r="E112" s="70"/>
      <c r="F112" s="71"/>
      <c r="G112" s="70"/>
      <c r="H112" s="71"/>
      <c r="I112" s="73"/>
      <c r="J112" s="74"/>
      <c r="K112" s="74"/>
      <c r="L112" s="74"/>
    </row>
    <row r="113" spans="1:12" x14ac:dyDescent="0.3">
      <c r="A113" s="27"/>
      <c r="B113" s="27"/>
      <c r="C113" s="27"/>
      <c r="D113" s="130">
        <f t="shared" si="3"/>
        <v>0</v>
      </c>
      <c r="E113" s="70"/>
      <c r="F113" s="71"/>
      <c r="G113" s="70"/>
      <c r="H113" s="71"/>
      <c r="I113" s="73"/>
      <c r="J113" s="74"/>
      <c r="K113" s="74"/>
      <c r="L113" s="74"/>
    </row>
    <row r="114" spans="1:12" x14ac:dyDescent="0.3">
      <c r="A114" s="27"/>
      <c r="B114" s="27"/>
      <c r="C114" s="27"/>
      <c r="D114" s="130">
        <f t="shared" si="3"/>
        <v>0</v>
      </c>
      <c r="E114" s="70"/>
      <c r="F114" s="71"/>
      <c r="G114" s="70"/>
      <c r="H114" s="71"/>
      <c r="I114" s="73"/>
      <c r="J114" s="74"/>
      <c r="K114" s="74"/>
      <c r="L114" s="74"/>
    </row>
    <row r="115" spans="1:12" x14ac:dyDescent="0.3">
      <c r="A115" s="27"/>
      <c r="B115" s="27"/>
      <c r="C115" s="27"/>
      <c r="D115" s="130">
        <f t="shared" si="3"/>
        <v>0</v>
      </c>
      <c r="E115" s="70"/>
      <c r="F115" s="71"/>
      <c r="G115" s="70"/>
      <c r="H115" s="71"/>
      <c r="I115" s="73"/>
      <c r="J115" s="74"/>
      <c r="K115" s="74"/>
      <c r="L115" s="74"/>
    </row>
    <row r="116" spans="1:12" x14ac:dyDescent="0.3">
      <c r="A116" s="27"/>
      <c r="B116" s="27"/>
      <c r="C116" s="27"/>
      <c r="D116" s="130">
        <f t="shared" si="3"/>
        <v>0</v>
      </c>
      <c r="E116" s="70"/>
      <c r="F116" s="71"/>
      <c r="G116" s="70"/>
      <c r="H116" s="71"/>
      <c r="I116" s="73"/>
      <c r="J116" s="74"/>
      <c r="K116" s="74"/>
      <c r="L116" s="74"/>
    </row>
    <row r="117" spans="1:12" x14ac:dyDescent="0.3">
      <c r="A117" s="27"/>
      <c r="B117" s="27"/>
      <c r="C117" s="27"/>
      <c r="D117" s="130">
        <f t="shared" si="3"/>
        <v>0</v>
      </c>
      <c r="E117" s="70"/>
      <c r="F117" s="71"/>
      <c r="G117" s="70"/>
      <c r="H117" s="71"/>
      <c r="I117" s="73"/>
      <c r="J117" s="74"/>
      <c r="K117" s="74"/>
      <c r="L117" s="74"/>
    </row>
    <row r="118" spans="1:12" x14ac:dyDescent="0.3">
      <c r="A118" s="27"/>
      <c r="B118" s="27"/>
      <c r="C118" s="27"/>
      <c r="D118" s="130">
        <f t="shared" si="3"/>
        <v>0</v>
      </c>
      <c r="E118" s="70"/>
      <c r="F118" s="71"/>
      <c r="G118" s="70"/>
      <c r="H118" s="71"/>
      <c r="I118" s="73"/>
      <c r="J118" s="74"/>
      <c r="K118" s="74"/>
      <c r="L118" s="74"/>
    </row>
    <row r="119" spans="1:12" x14ac:dyDescent="0.3">
      <c r="A119" s="27"/>
      <c r="B119" s="27"/>
      <c r="C119" s="27"/>
      <c r="D119" s="130">
        <f t="shared" si="3"/>
        <v>0</v>
      </c>
      <c r="E119" s="70"/>
      <c r="F119" s="71"/>
      <c r="G119" s="70"/>
      <c r="H119" s="71"/>
      <c r="I119" s="73"/>
      <c r="J119" s="74"/>
      <c r="K119" s="74"/>
      <c r="L119" s="74"/>
    </row>
    <row r="120" spans="1:12" x14ac:dyDescent="0.3">
      <c r="A120" s="27"/>
      <c r="B120" s="27"/>
      <c r="C120" s="27"/>
      <c r="D120" s="130">
        <f t="shared" si="3"/>
        <v>0</v>
      </c>
      <c r="E120" s="70"/>
      <c r="F120" s="71"/>
      <c r="G120" s="70"/>
      <c r="H120" s="71"/>
      <c r="I120" s="73"/>
      <c r="J120" s="74"/>
      <c r="K120" s="74"/>
      <c r="L120" s="74"/>
    </row>
    <row r="121" spans="1:12" x14ac:dyDescent="0.3">
      <c r="A121" s="27"/>
      <c r="B121" s="27"/>
      <c r="C121" s="27"/>
      <c r="D121" s="130">
        <f t="shared" si="3"/>
        <v>0</v>
      </c>
      <c r="E121" s="70"/>
      <c r="F121" s="71"/>
      <c r="G121" s="70"/>
      <c r="H121" s="71"/>
      <c r="I121" s="73"/>
      <c r="J121" s="74"/>
      <c r="K121" s="74"/>
      <c r="L121" s="74"/>
    </row>
    <row r="122" spans="1:12" x14ac:dyDescent="0.3">
      <c r="A122" s="27"/>
      <c r="B122" s="27"/>
      <c r="C122" s="27"/>
      <c r="D122" s="130">
        <f t="shared" si="3"/>
        <v>0</v>
      </c>
      <c r="E122" s="70"/>
      <c r="F122" s="71"/>
      <c r="G122" s="70"/>
      <c r="H122" s="71"/>
      <c r="I122" s="73"/>
      <c r="J122" s="74"/>
      <c r="K122" s="74"/>
      <c r="L122" s="74"/>
    </row>
    <row r="123" spans="1:12" x14ac:dyDescent="0.3">
      <c r="A123" s="27"/>
      <c r="B123" s="27"/>
      <c r="C123" s="27"/>
      <c r="D123" s="130">
        <f t="shared" si="3"/>
        <v>0</v>
      </c>
      <c r="E123" s="70"/>
      <c r="F123" s="71"/>
      <c r="G123" s="70"/>
      <c r="H123" s="71"/>
      <c r="I123" s="73"/>
      <c r="J123" s="74"/>
      <c r="K123" s="74"/>
      <c r="L123" s="74"/>
    </row>
    <row r="124" spans="1:12" x14ac:dyDescent="0.3">
      <c r="A124" s="27"/>
      <c r="B124" s="27"/>
      <c r="C124" s="27"/>
      <c r="D124" s="130">
        <f t="shared" si="3"/>
        <v>0</v>
      </c>
      <c r="E124" s="70"/>
      <c r="F124" s="71"/>
      <c r="G124" s="70"/>
      <c r="H124" s="71"/>
      <c r="I124" s="73"/>
      <c r="J124" s="74"/>
      <c r="K124" s="74"/>
      <c r="L124" s="74"/>
    </row>
    <row r="125" spans="1:12" x14ac:dyDescent="0.3">
      <c r="A125" s="27"/>
      <c r="B125" s="27"/>
      <c r="C125" s="27"/>
      <c r="D125" s="130">
        <f t="shared" si="3"/>
        <v>0</v>
      </c>
      <c r="E125" s="70"/>
      <c r="F125" s="71"/>
      <c r="G125" s="70"/>
      <c r="H125" s="71"/>
      <c r="I125" s="73"/>
      <c r="J125" s="74"/>
      <c r="K125" s="74"/>
      <c r="L125" s="74"/>
    </row>
    <row r="126" spans="1:12" x14ac:dyDescent="0.3">
      <c r="A126" s="27"/>
      <c r="B126" s="27"/>
      <c r="C126" s="27"/>
      <c r="D126" s="130">
        <f t="shared" si="3"/>
        <v>0</v>
      </c>
      <c r="E126" s="70"/>
      <c r="F126" s="71"/>
      <c r="G126" s="70"/>
      <c r="H126" s="71"/>
      <c r="I126" s="73"/>
      <c r="J126" s="74"/>
      <c r="K126" s="74"/>
      <c r="L126" s="74"/>
    </row>
    <row r="127" spans="1:12" x14ac:dyDescent="0.3">
      <c r="A127" s="27"/>
      <c r="B127" s="27"/>
      <c r="C127" s="27"/>
      <c r="D127" s="130">
        <f t="shared" si="3"/>
        <v>0</v>
      </c>
      <c r="E127" s="70"/>
      <c r="F127" s="71"/>
      <c r="G127" s="70"/>
      <c r="H127" s="71"/>
      <c r="I127" s="73"/>
      <c r="J127" s="74"/>
      <c r="K127" s="74"/>
      <c r="L127" s="74"/>
    </row>
    <row r="128" spans="1:12" x14ac:dyDescent="0.3">
      <c r="A128" s="27"/>
      <c r="B128" s="27"/>
      <c r="C128" s="27"/>
      <c r="D128" s="130">
        <f t="shared" si="3"/>
        <v>0</v>
      </c>
      <c r="E128" s="70"/>
      <c r="F128" s="71"/>
      <c r="G128" s="70"/>
      <c r="H128" s="71"/>
      <c r="I128" s="73"/>
      <c r="J128" s="74"/>
      <c r="K128" s="74"/>
      <c r="L128" s="74"/>
    </row>
    <row r="129" spans="1:12" x14ac:dyDescent="0.3">
      <c r="A129" s="27"/>
      <c r="B129" s="27"/>
      <c r="C129" s="27"/>
      <c r="D129" s="130">
        <f t="shared" si="3"/>
        <v>0</v>
      </c>
      <c r="E129" s="70"/>
      <c r="F129" s="71"/>
      <c r="G129" s="70"/>
      <c r="H129" s="71"/>
      <c r="I129" s="73"/>
      <c r="J129" s="74"/>
      <c r="K129" s="74"/>
      <c r="L129" s="74"/>
    </row>
    <row r="130" spans="1:12" x14ac:dyDescent="0.3">
      <c r="A130" s="27"/>
      <c r="B130" s="27"/>
      <c r="C130" s="27"/>
      <c r="D130" s="130">
        <f t="shared" si="3"/>
        <v>0</v>
      </c>
      <c r="E130" s="70"/>
      <c r="F130" s="71"/>
      <c r="G130" s="70"/>
      <c r="H130" s="71"/>
      <c r="I130" s="73"/>
      <c r="J130" s="74"/>
      <c r="K130" s="74"/>
      <c r="L130" s="74"/>
    </row>
    <row r="131" spans="1:12" x14ac:dyDescent="0.3">
      <c r="A131" s="27"/>
      <c r="B131" s="27"/>
      <c r="C131" s="27"/>
      <c r="D131" s="130">
        <f t="shared" si="3"/>
        <v>0</v>
      </c>
      <c r="E131" s="70"/>
      <c r="F131" s="71"/>
      <c r="G131" s="70"/>
      <c r="H131" s="71"/>
      <c r="I131" s="73"/>
      <c r="J131" s="74"/>
      <c r="K131" s="74"/>
      <c r="L131" s="74"/>
    </row>
    <row r="132" spans="1:12" x14ac:dyDescent="0.3">
      <c r="A132" s="27"/>
      <c r="B132" s="27"/>
      <c r="C132" s="27"/>
      <c r="D132" s="130">
        <f t="shared" si="3"/>
        <v>0</v>
      </c>
      <c r="E132" s="70"/>
      <c r="F132" s="71"/>
      <c r="G132" s="70"/>
      <c r="H132" s="71"/>
      <c r="I132" s="73"/>
      <c r="J132" s="74"/>
      <c r="K132" s="74"/>
      <c r="L132" s="74"/>
    </row>
    <row r="133" spans="1:12" x14ac:dyDescent="0.3">
      <c r="A133" s="27"/>
      <c r="B133" s="27"/>
      <c r="C133" s="27"/>
      <c r="D133" s="130">
        <f t="shared" si="3"/>
        <v>0</v>
      </c>
      <c r="E133" s="70"/>
      <c r="F133" s="71"/>
      <c r="G133" s="70"/>
      <c r="H133" s="71"/>
      <c r="I133" s="73"/>
      <c r="J133" s="74"/>
      <c r="K133" s="74"/>
      <c r="L133" s="74"/>
    </row>
    <row r="134" spans="1:12" x14ac:dyDescent="0.3">
      <c r="A134" s="27"/>
      <c r="B134" s="27"/>
      <c r="C134" s="27"/>
      <c r="D134" s="130">
        <f t="shared" si="3"/>
        <v>0</v>
      </c>
      <c r="E134" s="70"/>
      <c r="F134" s="71"/>
      <c r="G134" s="70"/>
      <c r="H134" s="71"/>
      <c r="I134" s="73"/>
      <c r="J134" s="74"/>
      <c r="K134" s="74"/>
      <c r="L134" s="74"/>
    </row>
    <row r="135" spans="1:12" x14ac:dyDescent="0.3">
      <c r="A135" s="27"/>
      <c r="B135" s="27"/>
      <c r="C135" s="27"/>
      <c r="D135" s="130">
        <f t="shared" si="3"/>
        <v>0</v>
      </c>
      <c r="E135" s="70"/>
      <c r="F135" s="71"/>
      <c r="G135" s="70"/>
      <c r="H135" s="71"/>
      <c r="I135" s="73"/>
      <c r="J135" s="74"/>
      <c r="K135" s="74"/>
      <c r="L135" s="74"/>
    </row>
    <row r="136" spans="1:12" x14ac:dyDescent="0.3">
      <c r="A136" s="27"/>
      <c r="B136" s="27"/>
      <c r="C136" s="27"/>
      <c r="D136" s="130">
        <f t="shared" ref="D136:D199" si="4">B136*$F$2+C136*$F$3</f>
        <v>0</v>
      </c>
      <c r="E136" s="70"/>
      <c r="F136" s="71"/>
      <c r="G136" s="70"/>
      <c r="H136" s="71"/>
      <c r="I136" s="73"/>
      <c r="J136" s="74"/>
      <c r="K136" s="74"/>
      <c r="L136" s="74"/>
    </row>
    <row r="137" spans="1:12" x14ac:dyDescent="0.3">
      <c r="A137" s="27"/>
      <c r="B137" s="27"/>
      <c r="C137" s="27"/>
      <c r="D137" s="130">
        <f t="shared" si="4"/>
        <v>0</v>
      </c>
      <c r="E137" s="70"/>
      <c r="F137" s="71"/>
      <c r="G137" s="70"/>
      <c r="H137" s="71"/>
      <c r="I137" s="73"/>
      <c r="J137" s="74"/>
      <c r="K137" s="74"/>
      <c r="L137" s="74"/>
    </row>
    <row r="138" spans="1:12" x14ac:dyDescent="0.3">
      <c r="A138" s="27"/>
      <c r="B138" s="27"/>
      <c r="C138" s="27"/>
      <c r="D138" s="130">
        <f t="shared" si="4"/>
        <v>0</v>
      </c>
      <c r="E138" s="70"/>
      <c r="F138" s="71"/>
      <c r="G138" s="70"/>
      <c r="H138" s="71"/>
      <c r="I138" s="73"/>
      <c r="J138" s="74"/>
      <c r="K138" s="74"/>
      <c r="L138" s="74"/>
    </row>
    <row r="139" spans="1:12" x14ac:dyDescent="0.3">
      <c r="A139" s="27"/>
      <c r="B139" s="27"/>
      <c r="C139" s="27"/>
      <c r="D139" s="130">
        <f t="shared" si="4"/>
        <v>0</v>
      </c>
      <c r="E139" s="70"/>
      <c r="F139" s="71"/>
      <c r="G139" s="70"/>
      <c r="H139" s="71"/>
      <c r="I139" s="73"/>
      <c r="J139" s="74"/>
      <c r="K139" s="74"/>
      <c r="L139" s="74"/>
    </row>
    <row r="140" spans="1:12" x14ac:dyDescent="0.3">
      <c r="A140" s="27"/>
      <c r="B140" s="27"/>
      <c r="C140" s="27"/>
      <c r="D140" s="130">
        <f t="shared" si="4"/>
        <v>0</v>
      </c>
      <c r="E140" s="70"/>
      <c r="F140" s="71"/>
      <c r="G140" s="70"/>
      <c r="H140" s="71"/>
      <c r="I140" s="73"/>
      <c r="J140" s="74"/>
      <c r="K140" s="74"/>
      <c r="L140" s="74"/>
    </row>
    <row r="141" spans="1:12" x14ac:dyDescent="0.3">
      <c r="A141" s="27"/>
      <c r="B141" s="27"/>
      <c r="C141" s="27"/>
      <c r="D141" s="130">
        <f t="shared" si="4"/>
        <v>0</v>
      </c>
      <c r="E141" s="70"/>
      <c r="F141" s="71"/>
      <c r="G141" s="70"/>
      <c r="H141" s="71"/>
      <c r="I141" s="73"/>
      <c r="J141" s="74"/>
      <c r="K141" s="74"/>
      <c r="L141" s="74"/>
    </row>
    <row r="142" spans="1:12" x14ac:dyDescent="0.3">
      <c r="A142" s="27"/>
      <c r="B142" s="27"/>
      <c r="C142" s="27"/>
      <c r="D142" s="130">
        <f t="shared" si="4"/>
        <v>0</v>
      </c>
      <c r="E142" s="70"/>
      <c r="F142" s="71"/>
      <c r="G142" s="70"/>
      <c r="H142" s="71"/>
      <c r="I142" s="73"/>
      <c r="J142" s="74"/>
      <c r="K142" s="74"/>
      <c r="L142" s="74"/>
    </row>
    <row r="143" spans="1:12" x14ac:dyDescent="0.3">
      <c r="A143" s="27"/>
      <c r="B143" s="27"/>
      <c r="C143" s="27"/>
      <c r="D143" s="130">
        <f t="shared" si="4"/>
        <v>0</v>
      </c>
      <c r="E143" s="70"/>
      <c r="F143" s="71"/>
      <c r="G143" s="70"/>
      <c r="H143" s="71"/>
      <c r="I143" s="73"/>
      <c r="J143" s="74"/>
      <c r="K143" s="74"/>
      <c r="L143" s="74"/>
    </row>
    <row r="144" spans="1:12" x14ac:dyDescent="0.3">
      <c r="A144" s="27"/>
      <c r="B144" s="27"/>
      <c r="C144" s="27"/>
      <c r="D144" s="130">
        <f t="shared" si="4"/>
        <v>0</v>
      </c>
      <c r="E144" s="70"/>
      <c r="F144" s="71"/>
      <c r="G144" s="70"/>
      <c r="H144" s="71"/>
      <c r="I144" s="73"/>
      <c r="J144" s="74"/>
      <c r="K144" s="74"/>
      <c r="L144" s="74"/>
    </row>
    <row r="145" spans="1:12" x14ac:dyDescent="0.3">
      <c r="A145" s="27"/>
      <c r="B145" s="27"/>
      <c r="C145" s="27"/>
      <c r="D145" s="130">
        <f t="shared" si="4"/>
        <v>0</v>
      </c>
      <c r="E145" s="70"/>
      <c r="F145" s="71"/>
      <c r="G145" s="70"/>
      <c r="H145" s="71"/>
      <c r="I145" s="73"/>
      <c r="J145" s="74"/>
      <c r="K145" s="74"/>
      <c r="L145" s="74"/>
    </row>
    <row r="146" spans="1:12" x14ac:dyDescent="0.3">
      <c r="A146" s="27"/>
      <c r="B146" s="27"/>
      <c r="C146" s="27"/>
      <c r="D146" s="130">
        <f t="shared" si="4"/>
        <v>0</v>
      </c>
      <c r="E146" s="70"/>
      <c r="F146" s="71"/>
      <c r="G146" s="70"/>
      <c r="H146" s="71"/>
      <c r="I146" s="73"/>
      <c r="J146" s="74"/>
      <c r="K146" s="74"/>
      <c r="L146" s="74"/>
    </row>
    <row r="147" spans="1:12" x14ac:dyDescent="0.3">
      <c r="A147" s="27"/>
      <c r="B147" s="27"/>
      <c r="C147" s="27"/>
      <c r="D147" s="130">
        <f t="shared" si="4"/>
        <v>0</v>
      </c>
      <c r="E147" s="70"/>
      <c r="F147" s="71"/>
      <c r="G147" s="70"/>
      <c r="H147" s="71"/>
      <c r="I147" s="73"/>
      <c r="J147" s="74"/>
      <c r="K147" s="74"/>
      <c r="L147" s="74"/>
    </row>
    <row r="148" spans="1:12" x14ac:dyDescent="0.3">
      <c r="A148" s="27"/>
      <c r="B148" s="27"/>
      <c r="C148" s="27"/>
      <c r="D148" s="130">
        <f t="shared" si="4"/>
        <v>0</v>
      </c>
      <c r="E148" s="70"/>
      <c r="F148" s="71"/>
      <c r="G148" s="70"/>
      <c r="H148" s="71"/>
      <c r="I148" s="73"/>
      <c r="J148" s="74"/>
      <c r="K148" s="74"/>
      <c r="L148" s="74"/>
    </row>
    <row r="149" spans="1:12" x14ac:dyDescent="0.3">
      <c r="A149" s="27"/>
      <c r="B149" s="27"/>
      <c r="C149" s="27"/>
      <c r="D149" s="130">
        <f t="shared" si="4"/>
        <v>0</v>
      </c>
      <c r="E149" s="70"/>
      <c r="F149" s="71"/>
      <c r="G149" s="70"/>
      <c r="H149" s="71"/>
      <c r="I149" s="73"/>
      <c r="J149" s="74"/>
      <c r="K149" s="74"/>
      <c r="L149" s="74"/>
    </row>
    <row r="150" spans="1:12" x14ac:dyDescent="0.3">
      <c r="A150" s="27"/>
      <c r="B150" s="27"/>
      <c r="C150" s="27"/>
      <c r="D150" s="130">
        <f t="shared" si="4"/>
        <v>0</v>
      </c>
      <c r="E150" s="70"/>
      <c r="F150" s="71"/>
      <c r="G150" s="70"/>
      <c r="H150" s="71"/>
      <c r="I150" s="73"/>
      <c r="J150" s="74"/>
      <c r="K150" s="74"/>
      <c r="L150" s="74"/>
    </row>
    <row r="151" spans="1:12" x14ac:dyDescent="0.3">
      <c r="A151" s="27"/>
      <c r="B151" s="27"/>
      <c r="C151" s="27"/>
      <c r="D151" s="130">
        <f t="shared" si="4"/>
        <v>0</v>
      </c>
      <c r="E151" s="70"/>
      <c r="F151" s="71"/>
      <c r="G151" s="70"/>
      <c r="H151" s="71"/>
      <c r="I151" s="73"/>
      <c r="J151" s="74"/>
      <c r="K151" s="74"/>
      <c r="L151" s="74"/>
    </row>
    <row r="152" spans="1:12" x14ac:dyDescent="0.3">
      <c r="A152" s="27"/>
      <c r="B152" s="27"/>
      <c r="C152" s="27"/>
      <c r="D152" s="130">
        <f t="shared" si="4"/>
        <v>0</v>
      </c>
      <c r="E152" s="70"/>
      <c r="F152" s="71"/>
      <c r="G152" s="70"/>
      <c r="H152" s="71"/>
      <c r="I152" s="73"/>
      <c r="J152" s="74"/>
      <c r="K152" s="74"/>
      <c r="L152" s="74"/>
    </row>
    <row r="153" spans="1:12" x14ac:dyDescent="0.3">
      <c r="A153" s="27"/>
      <c r="B153" s="27"/>
      <c r="C153" s="27"/>
      <c r="D153" s="130">
        <f t="shared" si="4"/>
        <v>0</v>
      </c>
      <c r="E153" s="70"/>
      <c r="F153" s="71"/>
      <c r="G153" s="70"/>
      <c r="H153" s="71"/>
      <c r="I153" s="73"/>
      <c r="J153" s="74"/>
      <c r="K153" s="74"/>
      <c r="L153" s="74"/>
    </row>
    <row r="154" spans="1:12" x14ac:dyDescent="0.3">
      <c r="A154" s="27"/>
      <c r="B154" s="27"/>
      <c r="C154" s="27"/>
      <c r="D154" s="130">
        <f t="shared" si="4"/>
        <v>0</v>
      </c>
      <c r="E154" s="70"/>
      <c r="F154" s="71"/>
      <c r="G154" s="70"/>
      <c r="H154" s="71"/>
      <c r="I154" s="73"/>
      <c r="J154" s="74"/>
      <c r="K154" s="74"/>
      <c r="L154" s="74"/>
    </row>
    <row r="155" spans="1:12" x14ac:dyDescent="0.3">
      <c r="A155" s="27"/>
      <c r="B155" s="27"/>
      <c r="C155" s="27"/>
      <c r="D155" s="130">
        <f t="shared" si="4"/>
        <v>0</v>
      </c>
      <c r="E155" s="70"/>
      <c r="F155" s="71"/>
      <c r="G155" s="70"/>
      <c r="H155" s="71"/>
      <c r="I155" s="73"/>
      <c r="J155" s="74"/>
      <c r="K155" s="74"/>
      <c r="L155" s="74"/>
    </row>
    <row r="156" spans="1:12" x14ac:dyDescent="0.3">
      <c r="A156" s="27"/>
      <c r="B156" s="27"/>
      <c r="C156" s="27"/>
      <c r="D156" s="130">
        <f t="shared" si="4"/>
        <v>0</v>
      </c>
      <c r="E156" s="70"/>
      <c r="F156" s="71"/>
      <c r="G156" s="70"/>
      <c r="H156" s="71"/>
      <c r="I156" s="73"/>
      <c r="J156" s="74"/>
      <c r="K156" s="74"/>
      <c r="L156" s="74"/>
    </row>
    <row r="157" spans="1:12" x14ac:dyDescent="0.3">
      <c r="A157" s="27"/>
      <c r="B157" s="27"/>
      <c r="C157" s="27"/>
      <c r="D157" s="130">
        <f t="shared" si="4"/>
        <v>0</v>
      </c>
      <c r="E157" s="70"/>
      <c r="F157" s="71"/>
      <c r="G157" s="70"/>
      <c r="H157" s="71"/>
      <c r="I157" s="73"/>
      <c r="J157" s="74"/>
      <c r="K157" s="74"/>
      <c r="L157" s="74"/>
    </row>
    <row r="158" spans="1:12" x14ac:dyDescent="0.3">
      <c r="A158" s="27"/>
      <c r="B158" s="27"/>
      <c r="C158" s="27"/>
      <c r="D158" s="130">
        <f t="shared" si="4"/>
        <v>0</v>
      </c>
      <c r="E158" s="70"/>
      <c r="F158" s="71"/>
      <c r="G158" s="70"/>
      <c r="H158" s="71"/>
      <c r="I158" s="73"/>
      <c r="J158" s="74"/>
      <c r="K158" s="74"/>
      <c r="L158" s="74"/>
    </row>
    <row r="159" spans="1:12" x14ac:dyDescent="0.3">
      <c r="A159" s="27"/>
      <c r="B159" s="27"/>
      <c r="C159" s="27"/>
      <c r="D159" s="130">
        <f t="shared" si="4"/>
        <v>0</v>
      </c>
      <c r="E159" s="70"/>
      <c r="F159" s="71"/>
      <c r="G159" s="70"/>
      <c r="H159" s="71"/>
      <c r="I159" s="73"/>
      <c r="J159" s="74"/>
      <c r="K159" s="74"/>
      <c r="L159" s="74"/>
    </row>
    <row r="160" spans="1:12" x14ac:dyDescent="0.3">
      <c r="A160" s="27"/>
      <c r="B160" s="27"/>
      <c r="C160" s="27"/>
      <c r="D160" s="130">
        <f t="shared" si="4"/>
        <v>0</v>
      </c>
      <c r="E160" s="70"/>
      <c r="F160" s="71"/>
      <c r="G160" s="70"/>
      <c r="H160" s="71"/>
      <c r="I160" s="73"/>
      <c r="J160" s="74"/>
      <c r="K160" s="74"/>
      <c r="L160" s="74"/>
    </row>
    <row r="161" spans="1:12" x14ac:dyDescent="0.3">
      <c r="A161" s="27"/>
      <c r="B161" s="27"/>
      <c r="C161" s="27"/>
      <c r="D161" s="130">
        <f t="shared" si="4"/>
        <v>0</v>
      </c>
      <c r="E161" s="70"/>
      <c r="F161" s="71"/>
      <c r="G161" s="70"/>
      <c r="H161" s="71"/>
      <c r="I161" s="73"/>
      <c r="J161" s="74"/>
      <c r="K161" s="74"/>
      <c r="L161" s="74"/>
    </row>
    <row r="162" spans="1:12" x14ac:dyDescent="0.3">
      <c r="A162" s="27"/>
      <c r="B162" s="27"/>
      <c r="C162" s="27"/>
      <c r="D162" s="130">
        <f t="shared" si="4"/>
        <v>0</v>
      </c>
      <c r="E162" s="70"/>
      <c r="F162" s="71"/>
      <c r="G162" s="70"/>
      <c r="H162" s="71"/>
      <c r="I162" s="73"/>
      <c r="J162" s="74"/>
      <c r="K162" s="74"/>
      <c r="L162" s="74"/>
    </row>
    <row r="163" spans="1:12" x14ac:dyDescent="0.3">
      <c r="A163" s="27"/>
      <c r="B163" s="27"/>
      <c r="C163" s="27"/>
      <c r="D163" s="130">
        <f t="shared" si="4"/>
        <v>0</v>
      </c>
      <c r="E163" s="70"/>
      <c r="F163" s="71"/>
      <c r="G163" s="70"/>
      <c r="H163" s="71"/>
      <c r="I163" s="73"/>
      <c r="J163" s="74"/>
      <c r="K163" s="74"/>
      <c r="L163" s="74"/>
    </row>
    <row r="164" spans="1:12" x14ac:dyDescent="0.3">
      <c r="A164" s="27"/>
      <c r="B164" s="27"/>
      <c r="C164" s="27"/>
      <c r="D164" s="130">
        <f t="shared" si="4"/>
        <v>0</v>
      </c>
      <c r="E164" s="70"/>
      <c r="F164" s="71"/>
      <c r="G164" s="70"/>
      <c r="H164" s="71"/>
      <c r="I164" s="73"/>
      <c r="J164" s="74"/>
      <c r="K164" s="74"/>
      <c r="L164" s="74"/>
    </row>
    <row r="165" spans="1:12" x14ac:dyDescent="0.3">
      <c r="A165" s="27"/>
      <c r="B165" s="27"/>
      <c r="C165" s="27"/>
      <c r="D165" s="130">
        <f t="shared" si="4"/>
        <v>0</v>
      </c>
      <c r="E165" s="70"/>
      <c r="F165" s="71"/>
      <c r="G165" s="70"/>
      <c r="H165" s="71"/>
      <c r="I165" s="73"/>
      <c r="J165" s="74"/>
      <c r="K165" s="74"/>
      <c r="L165" s="74"/>
    </row>
    <row r="166" spans="1:12" x14ac:dyDescent="0.3">
      <c r="A166" s="27"/>
      <c r="B166" s="27"/>
      <c r="C166" s="27"/>
      <c r="D166" s="130">
        <f t="shared" si="4"/>
        <v>0</v>
      </c>
      <c r="E166" s="70"/>
      <c r="F166" s="71"/>
      <c r="G166" s="70"/>
      <c r="H166" s="71"/>
      <c r="I166" s="73"/>
      <c r="J166" s="74"/>
      <c r="K166" s="74"/>
      <c r="L166" s="74"/>
    </row>
    <row r="167" spans="1:12" x14ac:dyDescent="0.3">
      <c r="A167" s="27"/>
      <c r="B167" s="27"/>
      <c r="C167" s="27"/>
      <c r="D167" s="130">
        <f t="shared" si="4"/>
        <v>0</v>
      </c>
      <c r="E167" s="70"/>
      <c r="F167" s="71"/>
      <c r="G167" s="70"/>
      <c r="H167" s="71"/>
      <c r="I167" s="73"/>
      <c r="J167" s="74"/>
      <c r="K167" s="74"/>
      <c r="L167" s="74"/>
    </row>
    <row r="168" spans="1:12" x14ac:dyDescent="0.3">
      <c r="A168" s="27"/>
      <c r="B168" s="27"/>
      <c r="C168" s="27"/>
      <c r="D168" s="130">
        <f t="shared" si="4"/>
        <v>0</v>
      </c>
      <c r="E168" s="70"/>
      <c r="F168" s="71"/>
      <c r="G168" s="70"/>
      <c r="H168" s="71"/>
      <c r="I168" s="73"/>
      <c r="J168" s="74"/>
      <c r="K168" s="74"/>
      <c r="L168" s="74"/>
    </row>
    <row r="169" spans="1:12" x14ac:dyDescent="0.3">
      <c r="A169" s="27"/>
      <c r="B169" s="27"/>
      <c r="C169" s="27"/>
      <c r="D169" s="130">
        <f t="shared" si="4"/>
        <v>0</v>
      </c>
      <c r="E169" s="70"/>
      <c r="F169" s="71"/>
      <c r="G169" s="70"/>
      <c r="H169" s="71"/>
      <c r="I169" s="73"/>
      <c r="J169" s="74"/>
      <c r="K169" s="74"/>
      <c r="L169" s="74"/>
    </row>
    <row r="170" spans="1:12" x14ac:dyDescent="0.3">
      <c r="A170" s="27"/>
      <c r="B170" s="27"/>
      <c r="C170" s="27"/>
      <c r="D170" s="130">
        <f t="shared" si="4"/>
        <v>0</v>
      </c>
      <c r="E170" s="70"/>
      <c r="F170" s="71"/>
      <c r="G170" s="70"/>
      <c r="H170" s="71"/>
      <c r="I170" s="73"/>
      <c r="J170" s="74"/>
      <c r="K170" s="74"/>
      <c r="L170" s="74"/>
    </row>
    <row r="171" spans="1:12" x14ac:dyDescent="0.3">
      <c r="A171" s="27"/>
      <c r="B171" s="27"/>
      <c r="C171" s="27"/>
      <c r="D171" s="130">
        <f t="shared" si="4"/>
        <v>0</v>
      </c>
      <c r="E171" s="70"/>
      <c r="F171" s="71"/>
      <c r="G171" s="70"/>
      <c r="H171" s="71"/>
      <c r="I171" s="73"/>
      <c r="J171" s="74"/>
      <c r="K171" s="74"/>
      <c r="L171" s="74"/>
    </row>
    <row r="172" spans="1:12" x14ac:dyDescent="0.3">
      <c r="A172" s="27"/>
      <c r="B172" s="27"/>
      <c r="C172" s="27"/>
      <c r="D172" s="130">
        <f t="shared" si="4"/>
        <v>0</v>
      </c>
      <c r="E172" s="70"/>
      <c r="F172" s="71"/>
      <c r="G172" s="70"/>
      <c r="H172" s="71"/>
      <c r="I172" s="73"/>
      <c r="J172" s="74"/>
      <c r="K172" s="74"/>
      <c r="L172" s="74"/>
    </row>
    <row r="173" spans="1:12" x14ac:dyDescent="0.3">
      <c r="A173" s="27"/>
      <c r="B173" s="27"/>
      <c r="C173" s="27"/>
      <c r="D173" s="130">
        <f t="shared" si="4"/>
        <v>0</v>
      </c>
      <c r="E173" s="70"/>
      <c r="F173" s="71"/>
      <c r="G173" s="70"/>
      <c r="H173" s="71"/>
      <c r="I173" s="73"/>
      <c r="J173" s="74"/>
      <c r="K173" s="74"/>
      <c r="L173" s="74"/>
    </row>
    <row r="174" spans="1:12" x14ac:dyDescent="0.3">
      <c r="A174" s="27"/>
      <c r="B174" s="27"/>
      <c r="C174" s="27"/>
      <c r="D174" s="130">
        <f t="shared" si="4"/>
        <v>0</v>
      </c>
      <c r="E174" s="70"/>
      <c r="F174" s="71"/>
      <c r="G174" s="70"/>
      <c r="H174" s="71"/>
      <c r="I174" s="73"/>
      <c r="J174" s="74"/>
      <c r="K174" s="74"/>
      <c r="L174" s="74"/>
    </row>
    <row r="175" spans="1:12" x14ac:dyDescent="0.3">
      <c r="A175" s="27"/>
      <c r="B175" s="27"/>
      <c r="C175" s="27"/>
      <c r="D175" s="130">
        <f t="shared" si="4"/>
        <v>0</v>
      </c>
      <c r="E175" s="70"/>
      <c r="F175" s="71"/>
      <c r="G175" s="70"/>
      <c r="H175" s="71"/>
      <c r="I175" s="73"/>
      <c r="J175" s="74"/>
      <c r="K175" s="74"/>
      <c r="L175" s="74"/>
    </row>
    <row r="176" spans="1:12" x14ac:dyDescent="0.3">
      <c r="A176" s="27"/>
      <c r="B176" s="27"/>
      <c r="C176" s="27"/>
      <c r="D176" s="130">
        <f t="shared" si="4"/>
        <v>0</v>
      </c>
      <c r="E176" s="70"/>
      <c r="F176" s="71"/>
      <c r="G176" s="70"/>
      <c r="H176" s="71"/>
      <c r="I176" s="73"/>
      <c r="J176" s="74"/>
      <c r="K176" s="74"/>
      <c r="L176" s="74"/>
    </row>
    <row r="177" spans="1:12" x14ac:dyDescent="0.3">
      <c r="A177" s="27"/>
      <c r="B177" s="27"/>
      <c r="C177" s="27"/>
      <c r="D177" s="130">
        <f t="shared" si="4"/>
        <v>0</v>
      </c>
      <c r="E177" s="70"/>
      <c r="F177" s="71"/>
      <c r="G177" s="70"/>
      <c r="H177" s="71"/>
      <c r="I177" s="73"/>
      <c r="J177" s="74"/>
      <c r="K177" s="74"/>
      <c r="L177" s="74"/>
    </row>
    <row r="178" spans="1:12" x14ac:dyDescent="0.3">
      <c r="A178" s="27"/>
      <c r="B178" s="27"/>
      <c r="C178" s="27"/>
      <c r="D178" s="130">
        <f t="shared" si="4"/>
        <v>0</v>
      </c>
      <c r="E178" s="70"/>
      <c r="F178" s="71"/>
      <c r="G178" s="70"/>
      <c r="H178" s="71"/>
      <c r="I178" s="73"/>
      <c r="J178" s="74"/>
      <c r="K178" s="74"/>
      <c r="L178" s="74"/>
    </row>
    <row r="179" spans="1:12" x14ac:dyDescent="0.3">
      <c r="A179" s="27"/>
      <c r="B179" s="27"/>
      <c r="C179" s="27"/>
      <c r="D179" s="130">
        <f t="shared" si="4"/>
        <v>0</v>
      </c>
      <c r="E179" s="70"/>
      <c r="F179" s="71"/>
      <c r="G179" s="70"/>
      <c r="H179" s="71"/>
      <c r="I179" s="73"/>
      <c r="J179" s="74"/>
      <c r="K179" s="74"/>
      <c r="L179" s="74"/>
    </row>
    <row r="180" spans="1:12" x14ac:dyDescent="0.3">
      <c r="A180" s="27"/>
      <c r="B180" s="27"/>
      <c r="C180" s="27"/>
      <c r="D180" s="130">
        <f t="shared" si="4"/>
        <v>0</v>
      </c>
      <c r="E180" s="70"/>
      <c r="F180" s="71"/>
      <c r="G180" s="70"/>
      <c r="H180" s="71"/>
      <c r="I180" s="73"/>
      <c r="J180" s="74"/>
      <c r="K180" s="74"/>
      <c r="L180" s="74"/>
    </row>
    <row r="181" spans="1:12" x14ac:dyDescent="0.3">
      <c r="A181" s="27"/>
      <c r="B181" s="27"/>
      <c r="C181" s="27"/>
      <c r="D181" s="130">
        <f t="shared" si="4"/>
        <v>0</v>
      </c>
      <c r="E181" s="70"/>
      <c r="F181" s="71"/>
      <c r="G181" s="70"/>
      <c r="H181" s="71"/>
      <c r="I181" s="73"/>
      <c r="J181" s="74"/>
      <c r="K181" s="74"/>
      <c r="L181" s="74"/>
    </row>
    <row r="182" spans="1:12" x14ac:dyDescent="0.3">
      <c r="A182" s="27"/>
      <c r="B182" s="27"/>
      <c r="C182" s="27"/>
      <c r="D182" s="130">
        <f t="shared" si="4"/>
        <v>0</v>
      </c>
      <c r="E182" s="70"/>
      <c r="F182" s="71"/>
      <c r="G182" s="70"/>
      <c r="H182" s="71"/>
      <c r="I182" s="73"/>
      <c r="J182" s="74"/>
      <c r="K182" s="74"/>
      <c r="L182" s="74"/>
    </row>
    <row r="183" spans="1:12" x14ac:dyDescent="0.3">
      <c r="A183" s="27"/>
      <c r="B183" s="27"/>
      <c r="C183" s="27"/>
      <c r="D183" s="130">
        <f t="shared" si="4"/>
        <v>0</v>
      </c>
      <c r="E183" s="70"/>
      <c r="F183" s="71"/>
      <c r="G183" s="70"/>
      <c r="H183" s="71"/>
      <c r="I183" s="73"/>
      <c r="J183" s="74"/>
      <c r="K183" s="74"/>
      <c r="L183" s="74"/>
    </row>
    <row r="184" spans="1:12" x14ac:dyDescent="0.3">
      <c r="A184" s="27"/>
      <c r="B184" s="27"/>
      <c r="C184" s="27"/>
      <c r="D184" s="130">
        <f t="shared" si="4"/>
        <v>0</v>
      </c>
      <c r="E184" s="70"/>
      <c r="F184" s="71"/>
      <c r="G184" s="70"/>
      <c r="H184" s="71"/>
      <c r="I184" s="73"/>
      <c r="J184" s="74"/>
      <c r="K184" s="74"/>
      <c r="L184" s="74"/>
    </row>
    <row r="185" spans="1:12" x14ac:dyDescent="0.3">
      <c r="A185" s="27"/>
      <c r="B185" s="27"/>
      <c r="C185" s="27"/>
      <c r="D185" s="130">
        <f t="shared" si="4"/>
        <v>0</v>
      </c>
      <c r="E185" s="70"/>
      <c r="F185" s="71"/>
      <c r="G185" s="70"/>
      <c r="H185" s="71"/>
      <c r="I185" s="73"/>
      <c r="J185" s="74"/>
      <c r="K185" s="74"/>
      <c r="L185" s="74"/>
    </row>
    <row r="186" spans="1:12" x14ac:dyDescent="0.3">
      <c r="A186" s="27"/>
      <c r="B186" s="27"/>
      <c r="C186" s="27"/>
      <c r="D186" s="130">
        <f t="shared" si="4"/>
        <v>0</v>
      </c>
      <c r="E186" s="70"/>
      <c r="F186" s="71"/>
      <c r="G186" s="70"/>
      <c r="H186" s="71"/>
      <c r="I186" s="73"/>
      <c r="J186" s="74"/>
      <c r="K186" s="74"/>
      <c r="L186" s="74"/>
    </row>
    <row r="187" spans="1:12" x14ac:dyDescent="0.3">
      <c r="A187" s="27"/>
      <c r="B187" s="27"/>
      <c r="C187" s="27"/>
      <c r="D187" s="130">
        <f t="shared" si="4"/>
        <v>0</v>
      </c>
      <c r="E187" s="70"/>
      <c r="F187" s="71"/>
      <c r="G187" s="70"/>
      <c r="H187" s="71"/>
      <c r="I187" s="73"/>
      <c r="J187" s="74"/>
      <c r="K187" s="74"/>
      <c r="L187" s="74"/>
    </row>
    <row r="188" spans="1:12" x14ac:dyDescent="0.3">
      <c r="A188" s="27"/>
      <c r="B188" s="27"/>
      <c r="C188" s="27"/>
      <c r="D188" s="130">
        <f t="shared" si="4"/>
        <v>0</v>
      </c>
      <c r="E188" s="70"/>
      <c r="F188" s="71"/>
      <c r="G188" s="70"/>
      <c r="H188" s="71"/>
      <c r="I188" s="73"/>
      <c r="J188" s="74"/>
      <c r="K188" s="74"/>
      <c r="L188" s="74"/>
    </row>
    <row r="189" spans="1:12" x14ac:dyDescent="0.3">
      <c r="A189" s="27"/>
      <c r="B189" s="27"/>
      <c r="C189" s="27"/>
      <c r="D189" s="130">
        <f t="shared" si="4"/>
        <v>0</v>
      </c>
      <c r="E189" s="70"/>
      <c r="F189" s="71"/>
      <c r="G189" s="70"/>
      <c r="H189" s="71"/>
      <c r="I189" s="73"/>
      <c r="J189" s="74"/>
      <c r="K189" s="74"/>
      <c r="L189" s="74"/>
    </row>
    <row r="190" spans="1:12" x14ac:dyDescent="0.3">
      <c r="A190" s="27"/>
      <c r="B190" s="27"/>
      <c r="C190" s="27"/>
      <c r="D190" s="130">
        <f t="shared" si="4"/>
        <v>0</v>
      </c>
      <c r="E190" s="70"/>
      <c r="F190" s="71"/>
      <c r="G190" s="70"/>
      <c r="H190" s="71"/>
      <c r="I190" s="73"/>
      <c r="J190" s="74"/>
      <c r="K190" s="74"/>
      <c r="L190" s="74"/>
    </row>
    <row r="191" spans="1:12" x14ac:dyDescent="0.3">
      <c r="A191" s="27"/>
      <c r="B191" s="27"/>
      <c r="C191" s="27"/>
      <c r="D191" s="130">
        <f t="shared" si="4"/>
        <v>0</v>
      </c>
      <c r="E191" s="70"/>
      <c r="F191" s="71"/>
      <c r="G191" s="70"/>
      <c r="H191" s="71"/>
      <c r="I191" s="73"/>
      <c r="J191" s="74"/>
      <c r="K191" s="74"/>
      <c r="L191" s="74"/>
    </row>
    <row r="192" spans="1:12" x14ac:dyDescent="0.3">
      <c r="A192" s="27"/>
      <c r="B192" s="27"/>
      <c r="C192" s="27"/>
      <c r="D192" s="130">
        <f t="shared" si="4"/>
        <v>0</v>
      </c>
      <c r="E192" s="70"/>
      <c r="F192" s="71"/>
      <c r="G192" s="70"/>
      <c r="H192" s="71"/>
      <c r="I192" s="73"/>
      <c r="J192" s="74"/>
      <c r="K192" s="74"/>
      <c r="L192" s="74"/>
    </row>
    <row r="193" spans="1:12" x14ac:dyDescent="0.3">
      <c r="A193" s="27"/>
      <c r="B193" s="27"/>
      <c r="C193" s="27"/>
      <c r="D193" s="130">
        <f t="shared" si="4"/>
        <v>0</v>
      </c>
      <c r="E193" s="70"/>
      <c r="F193" s="71"/>
      <c r="G193" s="70"/>
      <c r="H193" s="71"/>
      <c r="I193" s="73"/>
      <c r="J193" s="74"/>
      <c r="K193" s="74"/>
      <c r="L193" s="74"/>
    </row>
    <row r="194" spans="1:12" x14ac:dyDescent="0.3">
      <c r="A194" s="27"/>
      <c r="B194" s="27"/>
      <c r="C194" s="27"/>
      <c r="D194" s="130">
        <f t="shared" si="4"/>
        <v>0</v>
      </c>
      <c r="E194" s="70"/>
      <c r="F194" s="71"/>
      <c r="G194" s="70"/>
      <c r="H194" s="71"/>
      <c r="I194" s="73"/>
      <c r="J194" s="74"/>
      <c r="K194" s="74"/>
      <c r="L194" s="74"/>
    </row>
    <row r="195" spans="1:12" x14ac:dyDescent="0.3">
      <c r="A195" s="27"/>
      <c r="B195" s="27"/>
      <c r="C195" s="27"/>
      <c r="D195" s="130">
        <f t="shared" si="4"/>
        <v>0</v>
      </c>
      <c r="E195" s="70"/>
      <c r="F195" s="71"/>
      <c r="G195" s="70"/>
      <c r="H195" s="71"/>
      <c r="I195" s="73"/>
      <c r="J195" s="74"/>
      <c r="K195" s="74"/>
      <c r="L195" s="74"/>
    </row>
    <row r="196" spans="1:12" x14ac:dyDescent="0.3">
      <c r="A196" s="27"/>
      <c r="B196" s="27"/>
      <c r="C196" s="27"/>
      <c r="D196" s="130">
        <f t="shared" si="4"/>
        <v>0</v>
      </c>
      <c r="E196" s="70"/>
      <c r="F196" s="71"/>
      <c r="G196" s="70"/>
      <c r="H196" s="71"/>
      <c r="I196" s="73"/>
      <c r="J196" s="74"/>
      <c r="K196" s="74"/>
      <c r="L196" s="74"/>
    </row>
    <row r="197" spans="1:12" x14ac:dyDescent="0.3">
      <c r="A197" s="27"/>
      <c r="B197" s="27"/>
      <c r="C197" s="27"/>
      <c r="D197" s="130">
        <f t="shared" si="4"/>
        <v>0</v>
      </c>
      <c r="E197" s="70"/>
      <c r="F197" s="71"/>
      <c r="G197" s="70"/>
      <c r="H197" s="71"/>
      <c r="I197" s="73"/>
      <c r="J197" s="74"/>
      <c r="K197" s="74"/>
      <c r="L197" s="74"/>
    </row>
    <row r="198" spans="1:12" x14ac:dyDescent="0.3">
      <c r="A198" s="27"/>
      <c r="B198" s="27"/>
      <c r="C198" s="27"/>
      <c r="D198" s="130">
        <f t="shared" si="4"/>
        <v>0</v>
      </c>
      <c r="E198" s="70"/>
      <c r="F198" s="71"/>
      <c r="G198" s="70"/>
      <c r="H198" s="71"/>
      <c r="I198" s="73"/>
      <c r="J198" s="74"/>
      <c r="K198" s="74"/>
      <c r="L198" s="74"/>
    </row>
    <row r="199" spans="1:12" x14ac:dyDescent="0.3">
      <c r="A199" s="27"/>
      <c r="B199" s="27"/>
      <c r="C199" s="27"/>
      <c r="D199" s="130">
        <f t="shared" si="4"/>
        <v>0</v>
      </c>
      <c r="E199" s="70"/>
      <c r="F199" s="71"/>
      <c r="G199" s="70"/>
      <c r="H199" s="71"/>
      <c r="I199" s="73"/>
      <c r="J199" s="74"/>
      <c r="K199" s="74"/>
      <c r="L199" s="74"/>
    </row>
    <row r="200" spans="1:12" x14ac:dyDescent="0.3">
      <c r="A200" s="27"/>
      <c r="B200" s="27"/>
      <c r="C200" s="27"/>
      <c r="D200" s="130">
        <f t="shared" ref="D200:D263" si="5">B200*$F$2+C200*$F$3</f>
        <v>0</v>
      </c>
      <c r="E200" s="70"/>
      <c r="F200" s="71"/>
      <c r="G200" s="70"/>
      <c r="H200" s="71"/>
      <c r="I200" s="73"/>
      <c r="J200" s="74"/>
      <c r="K200" s="74"/>
      <c r="L200" s="74"/>
    </row>
    <row r="201" spans="1:12" x14ac:dyDescent="0.3">
      <c r="A201" s="27"/>
      <c r="B201" s="27"/>
      <c r="C201" s="27"/>
      <c r="D201" s="130">
        <f t="shared" si="5"/>
        <v>0</v>
      </c>
      <c r="E201" s="70"/>
      <c r="F201" s="71"/>
      <c r="G201" s="70"/>
      <c r="H201" s="71"/>
      <c r="I201" s="73"/>
      <c r="J201" s="74"/>
      <c r="K201" s="74"/>
      <c r="L201" s="74"/>
    </row>
    <row r="202" spans="1:12" x14ac:dyDescent="0.3">
      <c r="A202" s="27"/>
      <c r="B202" s="27"/>
      <c r="C202" s="27"/>
      <c r="D202" s="130">
        <f t="shared" si="5"/>
        <v>0</v>
      </c>
      <c r="E202" s="70"/>
      <c r="F202" s="71"/>
      <c r="G202" s="70"/>
      <c r="H202" s="71"/>
      <c r="I202" s="73"/>
      <c r="J202" s="74"/>
      <c r="K202" s="74"/>
      <c r="L202" s="74"/>
    </row>
    <row r="203" spans="1:12" x14ac:dyDescent="0.3">
      <c r="A203" s="27"/>
      <c r="B203" s="27"/>
      <c r="C203" s="27"/>
      <c r="D203" s="130">
        <f t="shared" si="5"/>
        <v>0</v>
      </c>
      <c r="E203" s="70"/>
      <c r="F203" s="71"/>
      <c r="G203" s="70"/>
      <c r="H203" s="71"/>
      <c r="I203" s="73"/>
      <c r="J203" s="74"/>
      <c r="K203" s="74"/>
      <c r="L203" s="74"/>
    </row>
    <row r="204" spans="1:12" x14ac:dyDescent="0.3">
      <c r="A204" s="27"/>
      <c r="B204" s="27"/>
      <c r="C204" s="27"/>
      <c r="D204" s="130">
        <f t="shared" si="5"/>
        <v>0</v>
      </c>
      <c r="E204" s="70"/>
      <c r="F204" s="71"/>
      <c r="G204" s="70"/>
      <c r="H204" s="71"/>
      <c r="I204" s="73"/>
      <c r="J204" s="74"/>
      <c r="K204" s="74"/>
      <c r="L204" s="74"/>
    </row>
    <row r="205" spans="1:12" x14ac:dyDescent="0.3">
      <c r="A205" s="27"/>
      <c r="B205" s="27"/>
      <c r="C205" s="27"/>
      <c r="D205" s="130">
        <f t="shared" si="5"/>
        <v>0</v>
      </c>
      <c r="E205" s="70"/>
      <c r="F205" s="71"/>
      <c r="G205" s="70"/>
      <c r="H205" s="71"/>
      <c r="I205" s="73"/>
      <c r="J205" s="74"/>
      <c r="K205" s="74"/>
      <c r="L205" s="74"/>
    </row>
    <row r="206" spans="1:12" x14ac:dyDescent="0.3">
      <c r="A206" s="27"/>
      <c r="B206" s="27"/>
      <c r="C206" s="27"/>
      <c r="D206" s="130">
        <f t="shared" si="5"/>
        <v>0</v>
      </c>
      <c r="E206" s="70"/>
      <c r="F206" s="71"/>
      <c r="G206" s="70"/>
      <c r="H206" s="71"/>
      <c r="I206" s="73"/>
      <c r="J206" s="74"/>
      <c r="K206" s="74"/>
      <c r="L206" s="74"/>
    </row>
    <row r="207" spans="1:12" x14ac:dyDescent="0.3">
      <c r="A207" s="27"/>
      <c r="B207" s="27"/>
      <c r="C207" s="27"/>
      <c r="D207" s="130">
        <f t="shared" si="5"/>
        <v>0</v>
      </c>
      <c r="E207" s="70"/>
      <c r="F207" s="71"/>
      <c r="G207" s="70"/>
      <c r="H207" s="71"/>
      <c r="I207" s="73"/>
      <c r="J207" s="74"/>
      <c r="K207" s="74"/>
      <c r="L207" s="74"/>
    </row>
    <row r="208" spans="1:12" x14ac:dyDescent="0.3">
      <c r="A208" s="27"/>
      <c r="B208" s="27"/>
      <c r="C208" s="27"/>
      <c r="D208" s="130">
        <f t="shared" si="5"/>
        <v>0</v>
      </c>
      <c r="E208" s="70"/>
      <c r="F208" s="71"/>
      <c r="G208" s="70"/>
      <c r="H208" s="71"/>
      <c r="I208" s="73"/>
      <c r="J208" s="74"/>
      <c r="K208" s="74"/>
      <c r="L208" s="74"/>
    </row>
    <row r="209" spans="1:12" x14ac:dyDescent="0.3">
      <c r="A209" s="27"/>
      <c r="B209" s="27"/>
      <c r="C209" s="27"/>
      <c r="D209" s="130">
        <f t="shared" si="5"/>
        <v>0</v>
      </c>
      <c r="E209" s="70"/>
      <c r="F209" s="71"/>
      <c r="G209" s="70"/>
      <c r="H209" s="71"/>
      <c r="I209" s="73"/>
      <c r="J209" s="74"/>
      <c r="K209" s="74"/>
      <c r="L209" s="74"/>
    </row>
    <row r="210" spans="1:12" x14ac:dyDescent="0.3">
      <c r="A210" s="27"/>
      <c r="B210" s="27"/>
      <c r="C210" s="27"/>
      <c r="D210" s="130">
        <f t="shared" si="5"/>
        <v>0</v>
      </c>
      <c r="E210" s="70"/>
      <c r="F210" s="71"/>
      <c r="G210" s="70"/>
      <c r="H210" s="71"/>
      <c r="I210" s="73"/>
      <c r="J210" s="74"/>
      <c r="K210" s="74"/>
      <c r="L210" s="74"/>
    </row>
    <row r="211" spans="1:12" x14ac:dyDescent="0.3">
      <c r="A211" s="27"/>
      <c r="B211" s="27"/>
      <c r="C211" s="27"/>
      <c r="D211" s="130">
        <f t="shared" si="5"/>
        <v>0</v>
      </c>
      <c r="E211" s="70"/>
      <c r="F211" s="71"/>
      <c r="G211" s="70"/>
      <c r="H211" s="71"/>
      <c r="I211" s="73"/>
      <c r="J211" s="74"/>
      <c r="K211" s="74"/>
      <c r="L211" s="74"/>
    </row>
    <row r="212" spans="1:12" x14ac:dyDescent="0.3">
      <c r="A212" s="27"/>
      <c r="B212" s="27"/>
      <c r="C212" s="27"/>
      <c r="D212" s="130">
        <f t="shared" si="5"/>
        <v>0</v>
      </c>
      <c r="E212" s="70"/>
      <c r="F212" s="71"/>
      <c r="G212" s="70"/>
      <c r="H212" s="71"/>
      <c r="I212" s="73"/>
      <c r="J212" s="74"/>
      <c r="K212" s="74"/>
      <c r="L212" s="74"/>
    </row>
    <row r="213" spans="1:12" x14ac:dyDescent="0.3">
      <c r="A213" s="27"/>
      <c r="B213" s="27"/>
      <c r="C213" s="27"/>
      <c r="D213" s="130">
        <f t="shared" si="5"/>
        <v>0</v>
      </c>
      <c r="E213" s="70"/>
      <c r="F213" s="71"/>
      <c r="G213" s="70"/>
      <c r="H213" s="71"/>
      <c r="I213" s="73"/>
      <c r="J213" s="74"/>
      <c r="K213" s="74"/>
      <c r="L213" s="74"/>
    </row>
    <row r="214" spans="1:12" x14ac:dyDescent="0.3">
      <c r="A214" s="27"/>
      <c r="B214" s="27"/>
      <c r="C214" s="27"/>
      <c r="D214" s="130">
        <f t="shared" si="5"/>
        <v>0</v>
      </c>
      <c r="E214" s="70"/>
      <c r="F214" s="71"/>
      <c r="G214" s="70"/>
      <c r="H214" s="71"/>
      <c r="I214" s="73"/>
      <c r="J214" s="74"/>
      <c r="K214" s="74"/>
      <c r="L214" s="74"/>
    </row>
    <row r="215" spans="1:12" x14ac:dyDescent="0.3">
      <c r="A215" s="27"/>
      <c r="B215" s="27"/>
      <c r="C215" s="27"/>
      <c r="D215" s="130">
        <f t="shared" si="5"/>
        <v>0</v>
      </c>
      <c r="E215" s="70"/>
      <c r="F215" s="71"/>
      <c r="G215" s="70"/>
      <c r="H215" s="71"/>
      <c r="I215" s="73"/>
      <c r="J215" s="74"/>
      <c r="K215" s="74"/>
      <c r="L215" s="74"/>
    </row>
    <row r="216" spans="1:12" x14ac:dyDescent="0.3">
      <c r="A216" s="27"/>
      <c r="B216" s="27"/>
      <c r="C216" s="27"/>
      <c r="D216" s="130">
        <f t="shared" si="5"/>
        <v>0</v>
      </c>
      <c r="E216" s="70"/>
      <c r="F216" s="71"/>
      <c r="G216" s="70"/>
      <c r="H216" s="71"/>
      <c r="I216" s="73"/>
      <c r="J216" s="74"/>
      <c r="K216" s="74"/>
      <c r="L216" s="74"/>
    </row>
    <row r="217" spans="1:12" x14ac:dyDescent="0.3">
      <c r="A217" s="27"/>
      <c r="B217" s="27"/>
      <c r="C217" s="27"/>
      <c r="D217" s="130">
        <f t="shared" si="5"/>
        <v>0</v>
      </c>
      <c r="E217" s="70"/>
      <c r="F217" s="71"/>
      <c r="G217" s="70"/>
      <c r="H217" s="71"/>
      <c r="I217" s="73"/>
      <c r="J217" s="74"/>
      <c r="K217" s="74"/>
      <c r="L217" s="74"/>
    </row>
    <row r="218" spans="1:12" x14ac:dyDescent="0.3">
      <c r="A218" s="27"/>
      <c r="B218" s="27"/>
      <c r="C218" s="27"/>
      <c r="D218" s="130">
        <f t="shared" si="5"/>
        <v>0</v>
      </c>
      <c r="E218" s="70"/>
      <c r="F218" s="71"/>
      <c r="G218" s="70"/>
      <c r="H218" s="71"/>
      <c r="I218" s="73"/>
      <c r="J218" s="74"/>
      <c r="K218" s="74"/>
      <c r="L218" s="74"/>
    </row>
    <row r="219" spans="1:12" x14ac:dyDescent="0.3">
      <c r="A219" s="27"/>
      <c r="B219" s="27"/>
      <c r="C219" s="27"/>
      <c r="D219" s="130">
        <f t="shared" si="5"/>
        <v>0</v>
      </c>
      <c r="E219" s="70"/>
      <c r="F219" s="71"/>
      <c r="G219" s="70"/>
      <c r="H219" s="71"/>
      <c r="I219" s="73"/>
      <c r="J219" s="74"/>
      <c r="K219" s="74"/>
      <c r="L219" s="74"/>
    </row>
    <row r="220" spans="1:12" x14ac:dyDescent="0.3">
      <c r="A220" s="27"/>
      <c r="B220" s="27"/>
      <c r="C220" s="27"/>
      <c r="D220" s="130">
        <f t="shared" si="5"/>
        <v>0</v>
      </c>
      <c r="E220" s="70"/>
      <c r="F220" s="71"/>
      <c r="G220" s="70"/>
      <c r="H220" s="71"/>
      <c r="I220" s="73"/>
      <c r="J220" s="74"/>
      <c r="K220" s="74"/>
      <c r="L220" s="74"/>
    </row>
    <row r="221" spans="1:12" x14ac:dyDescent="0.3">
      <c r="A221" s="27"/>
      <c r="B221" s="27"/>
      <c r="C221" s="27"/>
      <c r="D221" s="130">
        <f t="shared" si="5"/>
        <v>0</v>
      </c>
      <c r="E221" s="70"/>
      <c r="F221" s="71"/>
      <c r="G221" s="70"/>
      <c r="H221" s="71"/>
      <c r="I221" s="73"/>
      <c r="J221" s="74"/>
      <c r="K221" s="74"/>
      <c r="L221" s="74"/>
    </row>
    <row r="222" spans="1:12" x14ac:dyDescent="0.3">
      <c r="A222" s="27"/>
      <c r="B222" s="27"/>
      <c r="C222" s="27"/>
      <c r="D222" s="130">
        <f t="shared" si="5"/>
        <v>0</v>
      </c>
      <c r="E222" s="70"/>
      <c r="F222" s="71"/>
      <c r="G222" s="70"/>
      <c r="H222" s="71"/>
      <c r="I222" s="73"/>
      <c r="J222" s="74"/>
      <c r="K222" s="74"/>
      <c r="L222" s="74"/>
    </row>
    <row r="223" spans="1:12" x14ac:dyDescent="0.3">
      <c r="A223" s="27"/>
      <c r="B223" s="27"/>
      <c r="C223" s="27"/>
      <c r="D223" s="130">
        <f t="shared" si="5"/>
        <v>0</v>
      </c>
      <c r="E223" s="70"/>
      <c r="F223" s="71"/>
      <c r="G223" s="70"/>
      <c r="H223" s="71"/>
      <c r="I223" s="73"/>
      <c r="J223" s="74"/>
      <c r="K223" s="74"/>
      <c r="L223" s="74"/>
    </row>
    <row r="224" spans="1:12" x14ac:dyDescent="0.3">
      <c r="A224" s="27"/>
      <c r="B224" s="27"/>
      <c r="C224" s="27"/>
      <c r="D224" s="130">
        <f t="shared" si="5"/>
        <v>0</v>
      </c>
      <c r="E224" s="70"/>
      <c r="F224" s="71"/>
      <c r="G224" s="70"/>
      <c r="H224" s="71"/>
      <c r="I224" s="73"/>
      <c r="J224" s="74"/>
      <c r="K224" s="74"/>
      <c r="L224" s="74"/>
    </row>
    <row r="225" spans="1:12" x14ac:dyDescent="0.3">
      <c r="A225" s="27"/>
      <c r="B225" s="27"/>
      <c r="C225" s="27"/>
      <c r="D225" s="130">
        <f t="shared" si="5"/>
        <v>0</v>
      </c>
      <c r="E225" s="70"/>
      <c r="F225" s="71"/>
      <c r="G225" s="70"/>
      <c r="H225" s="71"/>
      <c r="I225" s="73"/>
      <c r="J225" s="74"/>
      <c r="K225" s="74"/>
      <c r="L225" s="74"/>
    </row>
    <row r="226" spans="1:12" x14ac:dyDescent="0.3">
      <c r="A226" s="27"/>
      <c r="B226" s="27"/>
      <c r="C226" s="27"/>
      <c r="D226" s="130">
        <f t="shared" si="5"/>
        <v>0</v>
      </c>
      <c r="E226" s="70"/>
      <c r="F226" s="71"/>
      <c r="G226" s="70"/>
      <c r="H226" s="71"/>
      <c r="I226" s="73"/>
      <c r="J226" s="74"/>
      <c r="K226" s="74"/>
      <c r="L226" s="74"/>
    </row>
    <row r="227" spans="1:12" x14ac:dyDescent="0.3">
      <c r="A227" s="27"/>
      <c r="B227" s="27"/>
      <c r="C227" s="27"/>
      <c r="D227" s="130">
        <f t="shared" si="5"/>
        <v>0</v>
      </c>
      <c r="E227" s="70"/>
      <c r="F227" s="71"/>
      <c r="G227" s="70"/>
      <c r="H227" s="71"/>
      <c r="I227" s="73"/>
      <c r="J227" s="74"/>
      <c r="K227" s="74"/>
      <c r="L227" s="74"/>
    </row>
    <row r="228" spans="1:12" x14ac:dyDescent="0.3">
      <c r="A228" s="27"/>
      <c r="B228" s="27"/>
      <c r="C228" s="27"/>
      <c r="D228" s="130">
        <f t="shared" si="5"/>
        <v>0</v>
      </c>
      <c r="E228" s="70"/>
      <c r="F228" s="71"/>
      <c r="G228" s="70"/>
      <c r="H228" s="71"/>
      <c r="I228" s="73"/>
      <c r="J228" s="74"/>
      <c r="K228" s="74"/>
      <c r="L228" s="74"/>
    </row>
    <row r="229" spans="1:12" x14ac:dyDescent="0.3">
      <c r="A229" s="27"/>
      <c r="B229" s="27"/>
      <c r="C229" s="27"/>
      <c r="D229" s="130">
        <f t="shared" si="5"/>
        <v>0</v>
      </c>
      <c r="E229" s="70"/>
      <c r="F229" s="71"/>
      <c r="G229" s="70"/>
      <c r="H229" s="71"/>
      <c r="I229" s="73"/>
      <c r="J229" s="74"/>
      <c r="K229" s="74"/>
      <c r="L229" s="74"/>
    </row>
    <row r="230" spans="1:12" x14ac:dyDescent="0.3">
      <c r="A230" s="27"/>
      <c r="B230" s="27"/>
      <c r="C230" s="27"/>
      <c r="D230" s="130">
        <f t="shared" si="5"/>
        <v>0</v>
      </c>
      <c r="E230" s="70"/>
      <c r="F230" s="71"/>
      <c r="G230" s="70"/>
      <c r="H230" s="71"/>
      <c r="I230" s="73"/>
      <c r="J230" s="74"/>
      <c r="K230" s="74"/>
      <c r="L230" s="74"/>
    </row>
    <row r="231" spans="1:12" x14ac:dyDescent="0.3">
      <c r="A231" s="27"/>
      <c r="B231" s="27"/>
      <c r="C231" s="27"/>
      <c r="D231" s="130">
        <f t="shared" si="5"/>
        <v>0</v>
      </c>
      <c r="E231" s="70"/>
      <c r="F231" s="71"/>
      <c r="G231" s="70"/>
      <c r="H231" s="71"/>
      <c r="I231" s="73"/>
      <c r="J231" s="74"/>
      <c r="K231" s="74"/>
      <c r="L231" s="74"/>
    </row>
    <row r="232" spans="1:12" x14ac:dyDescent="0.3">
      <c r="A232" s="27"/>
      <c r="B232" s="27"/>
      <c r="C232" s="27"/>
      <c r="D232" s="130">
        <f t="shared" si="5"/>
        <v>0</v>
      </c>
      <c r="E232" s="70"/>
      <c r="F232" s="71"/>
      <c r="G232" s="70"/>
      <c r="H232" s="71"/>
      <c r="I232" s="73"/>
      <c r="J232" s="74"/>
      <c r="K232" s="74"/>
      <c r="L232" s="74"/>
    </row>
    <row r="233" spans="1:12" x14ac:dyDescent="0.3">
      <c r="A233" s="27"/>
      <c r="B233" s="27"/>
      <c r="C233" s="27"/>
      <c r="D233" s="130">
        <f t="shared" si="5"/>
        <v>0</v>
      </c>
      <c r="E233" s="70"/>
      <c r="F233" s="71"/>
      <c r="G233" s="70"/>
      <c r="H233" s="71"/>
      <c r="I233" s="73"/>
      <c r="J233" s="74"/>
      <c r="K233" s="74"/>
      <c r="L233" s="74"/>
    </row>
    <row r="234" spans="1:12" x14ac:dyDescent="0.3">
      <c r="A234" s="27"/>
      <c r="B234" s="27"/>
      <c r="C234" s="27"/>
      <c r="D234" s="130">
        <f t="shared" si="5"/>
        <v>0</v>
      </c>
      <c r="E234" s="70"/>
      <c r="F234" s="71"/>
      <c r="G234" s="70"/>
      <c r="H234" s="71"/>
      <c r="I234" s="73"/>
      <c r="J234" s="74"/>
      <c r="K234" s="74"/>
      <c r="L234" s="74"/>
    </row>
    <row r="235" spans="1:12" x14ac:dyDescent="0.3">
      <c r="A235" s="27"/>
      <c r="B235" s="27"/>
      <c r="C235" s="27"/>
      <c r="D235" s="130">
        <f t="shared" si="5"/>
        <v>0</v>
      </c>
      <c r="E235" s="70"/>
      <c r="F235" s="71"/>
      <c r="G235" s="70"/>
      <c r="H235" s="71"/>
      <c r="I235" s="73"/>
      <c r="J235" s="74"/>
      <c r="K235" s="74"/>
      <c r="L235" s="74"/>
    </row>
    <row r="236" spans="1:12" x14ac:dyDescent="0.3">
      <c r="A236" s="27"/>
      <c r="B236" s="27"/>
      <c r="C236" s="27"/>
      <c r="D236" s="130">
        <f t="shared" si="5"/>
        <v>0</v>
      </c>
      <c r="E236" s="70"/>
      <c r="F236" s="71"/>
      <c r="G236" s="70"/>
      <c r="H236" s="71"/>
      <c r="I236" s="73"/>
      <c r="J236" s="74"/>
      <c r="K236" s="74"/>
      <c r="L236" s="74"/>
    </row>
    <row r="237" spans="1:12" x14ac:dyDescent="0.3">
      <c r="A237" s="27"/>
      <c r="B237" s="27"/>
      <c r="C237" s="27"/>
      <c r="D237" s="130">
        <f t="shared" si="5"/>
        <v>0</v>
      </c>
      <c r="E237" s="70"/>
      <c r="F237" s="71"/>
      <c r="G237" s="70"/>
      <c r="H237" s="71"/>
      <c r="I237" s="73"/>
      <c r="J237" s="74"/>
      <c r="K237" s="74"/>
      <c r="L237" s="74"/>
    </row>
    <row r="238" spans="1:12" x14ac:dyDescent="0.3">
      <c r="A238" s="27"/>
      <c r="B238" s="27"/>
      <c r="C238" s="27"/>
      <c r="D238" s="130">
        <f t="shared" si="5"/>
        <v>0</v>
      </c>
      <c r="E238" s="70"/>
      <c r="F238" s="71"/>
      <c r="G238" s="70"/>
      <c r="H238" s="71"/>
      <c r="I238" s="73"/>
      <c r="J238" s="74"/>
      <c r="K238" s="74"/>
      <c r="L238" s="74"/>
    </row>
    <row r="239" spans="1:12" x14ac:dyDescent="0.3">
      <c r="A239" s="27"/>
      <c r="B239" s="27"/>
      <c r="C239" s="27"/>
      <c r="D239" s="130">
        <f t="shared" si="5"/>
        <v>0</v>
      </c>
      <c r="E239" s="70"/>
      <c r="F239" s="71"/>
      <c r="G239" s="70"/>
      <c r="H239" s="71"/>
      <c r="I239" s="73"/>
      <c r="J239" s="74"/>
      <c r="K239" s="74"/>
      <c r="L239" s="74"/>
    </row>
    <row r="240" spans="1:12" x14ac:dyDescent="0.3">
      <c r="A240" s="27"/>
      <c r="B240" s="27"/>
      <c r="C240" s="27"/>
      <c r="D240" s="130">
        <f t="shared" si="5"/>
        <v>0</v>
      </c>
      <c r="E240" s="70"/>
      <c r="F240" s="71"/>
      <c r="G240" s="70"/>
      <c r="H240" s="71"/>
      <c r="I240" s="73"/>
      <c r="J240" s="74"/>
      <c r="K240" s="74"/>
      <c r="L240" s="74"/>
    </row>
    <row r="241" spans="1:12" x14ac:dyDescent="0.3">
      <c r="A241" s="27"/>
      <c r="B241" s="27"/>
      <c r="C241" s="27"/>
      <c r="D241" s="130">
        <f t="shared" si="5"/>
        <v>0</v>
      </c>
      <c r="E241" s="70"/>
      <c r="F241" s="71"/>
      <c r="G241" s="70"/>
      <c r="H241" s="71"/>
      <c r="I241" s="73"/>
      <c r="J241" s="74"/>
      <c r="K241" s="74"/>
      <c r="L241" s="74"/>
    </row>
    <row r="242" spans="1:12" x14ac:dyDescent="0.3">
      <c r="A242" s="27"/>
      <c r="B242" s="27"/>
      <c r="C242" s="27"/>
      <c r="D242" s="130">
        <f t="shared" si="5"/>
        <v>0</v>
      </c>
      <c r="E242" s="70"/>
      <c r="F242" s="71"/>
      <c r="G242" s="70"/>
      <c r="H242" s="71"/>
      <c r="I242" s="73"/>
      <c r="J242" s="74"/>
      <c r="K242" s="74"/>
      <c r="L242" s="74"/>
    </row>
    <row r="243" spans="1:12" x14ac:dyDescent="0.3">
      <c r="A243" s="27"/>
      <c r="B243" s="27"/>
      <c r="C243" s="27"/>
      <c r="D243" s="130">
        <f t="shared" si="5"/>
        <v>0</v>
      </c>
      <c r="E243" s="70"/>
      <c r="F243" s="71"/>
      <c r="G243" s="70"/>
      <c r="H243" s="71"/>
      <c r="I243" s="73"/>
      <c r="J243" s="74"/>
      <c r="K243" s="74"/>
      <c r="L243" s="74"/>
    </row>
    <row r="244" spans="1:12" x14ac:dyDescent="0.3">
      <c r="A244" s="27"/>
      <c r="B244" s="27"/>
      <c r="C244" s="27"/>
      <c r="D244" s="130">
        <f t="shared" si="5"/>
        <v>0</v>
      </c>
      <c r="E244" s="70"/>
      <c r="F244" s="71"/>
      <c r="G244" s="70"/>
      <c r="H244" s="71"/>
      <c r="I244" s="73"/>
      <c r="J244" s="74"/>
      <c r="K244" s="74"/>
      <c r="L244" s="74"/>
    </row>
    <row r="245" spans="1:12" x14ac:dyDescent="0.3">
      <c r="A245" s="27"/>
      <c r="B245" s="27"/>
      <c r="C245" s="27"/>
      <c r="D245" s="130">
        <f t="shared" si="5"/>
        <v>0</v>
      </c>
      <c r="E245" s="70"/>
      <c r="F245" s="71"/>
      <c r="G245" s="70"/>
      <c r="H245" s="71"/>
      <c r="I245" s="73"/>
      <c r="J245" s="74"/>
      <c r="K245" s="74"/>
      <c r="L245" s="74"/>
    </row>
    <row r="246" spans="1:12" x14ac:dyDescent="0.3">
      <c r="A246" s="27"/>
      <c r="B246" s="27"/>
      <c r="C246" s="27"/>
      <c r="D246" s="130">
        <f t="shared" si="5"/>
        <v>0</v>
      </c>
      <c r="E246" s="70"/>
      <c r="F246" s="71"/>
      <c r="G246" s="70"/>
      <c r="H246" s="71"/>
      <c r="I246" s="73"/>
      <c r="J246" s="74"/>
      <c r="K246" s="74"/>
      <c r="L246" s="74"/>
    </row>
    <row r="247" spans="1:12" x14ac:dyDescent="0.3">
      <c r="A247" s="27"/>
      <c r="B247" s="27"/>
      <c r="C247" s="27"/>
      <c r="D247" s="130">
        <f t="shared" si="5"/>
        <v>0</v>
      </c>
      <c r="E247" s="70"/>
      <c r="F247" s="71"/>
      <c r="G247" s="70"/>
      <c r="H247" s="71"/>
      <c r="I247" s="73"/>
      <c r="J247" s="74"/>
      <c r="K247" s="74"/>
      <c r="L247" s="74"/>
    </row>
    <row r="248" spans="1:12" x14ac:dyDescent="0.3">
      <c r="A248" s="27"/>
      <c r="B248" s="27"/>
      <c r="C248" s="27"/>
      <c r="D248" s="130">
        <f t="shared" si="5"/>
        <v>0</v>
      </c>
      <c r="E248" s="70"/>
      <c r="F248" s="71"/>
      <c r="G248" s="70"/>
      <c r="H248" s="71"/>
      <c r="I248" s="73"/>
      <c r="J248" s="74"/>
      <c r="K248" s="74"/>
      <c r="L248" s="74"/>
    </row>
    <row r="249" spans="1:12" x14ac:dyDescent="0.3">
      <c r="A249" s="27"/>
      <c r="B249" s="27"/>
      <c r="C249" s="27"/>
      <c r="D249" s="130">
        <f t="shared" si="5"/>
        <v>0</v>
      </c>
      <c r="E249" s="70"/>
      <c r="F249" s="71"/>
      <c r="G249" s="70"/>
      <c r="H249" s="71"/>
      <c r="I249" s="73"/>
      <c r="J249" s="74"/>
      <c r="K249" s="74"/>
      <c r="L249" s="74"/>
    </row>
    <row r="250" spans="1:12" x14ac:dyDescent="0.3">
      <c r="A250" s="27"/>
      <c r="B250" s="27"/>
      <c r="C250" s="27"/>
      <c r="D250" s="130">
        <f t="shared" si="5"/>
        <v>0</v>
      </c>
      <c r="E250" s="70"/>
      <c r="F250" s="71"/>
      <c r="G250" s="70"/>
      <c r="H250" s="71"/>
      <c r="I250" s="73"/>
      <c r="J250" s="74"/>
      <c r="K250" s="74"/>
      <c r="L250" s="74"/>
    </row>
    <row r="251" spans="1:12" x14ac:dyDescent="0.3">
      <c r="A251" s="27"/>
      <c r="B251" s="27"/>
      <c r="C251" s="27"/>
      <c r="D251" s="130">
        <f t="shared" si="5"/>
        <v>0</v>
      </c>
      <c r="E251" s="70"/>
      <c r="F251" s="71"/>
      <c r="G251" s="70"/>
      <c r="H251" s="71"/>
      <c r="I251" s="73"/>
      <c r="J251" s="74"/>
      <c r="K251" s="74"/>
      <c r="L251" s="74"/>
    </row>
    <row r="252" spans="1:12" x14ac:dyDescent="0.3">
      <c r="A252" s="27"/>
      <c r="B252" s="27"/>
      <c r="C252" s="27"/>
      <c r="D252" s="130">
        <f t="shared" si="5"/>
        <v>0</v>
      </c>
      <c r="E252" s="70"/>
      <c r="F252" s="71"/>
      <c r="G252" s="70"/>
      <c r="H252" s="71"/>
      <c r="I252" s="73"/>
      <c r="J252" s="74"/>
      <c r="K252" s="74"/>
      <c r="L252" s="74"/>
    </row>
    <row r="253" spans="1:12" x14ac:dyDescent="0.3">
      <c r="A253" s="27"/>
      <c r="B253" s="27"/>
      <c r="C253" s="27"/>
      <c r="D253" s="130">
        <f t="shared" si="5"/>
        <v>0</v>
      </c>
      <c r="E253" s="70"/>
      <c r="F253" s="71"/>
      <c r="G253" s="70"/>
      <c r="H253" s="71"/>
      <c r="I253" s="73"/>
      <c r="J253" s="74"/>
      <c r="K253" s="74"/>
      <c r="L253" s="74"/>
    </row>
    <row r="254" spans="1:12" x14ac:dyDescent="0.3">
      <c r="A254" s="27"/>
      <c r="B254" s="27"/>
      <c r="C254" s="27"/>
      <c r="D254" s="130">
        <f t="shared" si="5"/>
        <v>0</v>
      </c>
      <c r="E254" s="70"/>
      <c r="F254" s="71"/>
      <c r="G254" s="70"/>
      <c r="H254" s="71"/>
      <c r="I254" s="73"/>
      <c r="J254" s="74"/>
      <c r="K254" s="74"/>
      <c r="L254" s="74"/>
    </row>
    <row r="255" spans="1:12" x14ac:dyDescent="0.3">
      <c r="A255" s="27"/>
      <c r="B255" s="27"/>
      <c r="C255" s="27"/>
      <c r="D255" s="130">
        <f t="shared" si="5"/>
        <v>0</v>
      </c>
      <c r="E255" s="70"/>
      <c r="F255" s="71"/>
      <c r="G255" s="70"/>
      <c r="H255" s="71"/>
      <c r="I255" s="73"/>
      <c r="J255" s="74"/>
      <c r="K255" s="74"/>
      <c r="L255" s="74"/>
    </row>
    <row r="256" spans="1:12" x14ac:dyDescent="0.3">
      <c r="A256" s="27"/>
      <c r="B256" s="27"/>
      <c r="C256" s="27"/>
      <c r="D256" s="130">
        <f t="shared" si="5"/>
        <v>0</v>
      </c>
      <c r="E256" s="70"/>
      <c r="F256" s="71"/>
      <c r="G256" s="70"/>
      <c r="H256" s="71"/>
      <c r="I256" s="73"/>
      <c r="J256" s="74"/>
      <c r="K256" s="74"/>
      <c r="L256" s="74"/>
    </row>
    <row r="257" spans="1:12" x14ac:dyDescent="0.3">
      <c r="A257" s="27"/>
      <c r="B257" s="27"/>
      <c r="C257" s="27"/>
      <c r="D257" s="130">
        <f t="shared" si="5"/>
        <v>0</v>
      </c>
      <c r="E257" s="70"/>
      <c r="F257" s="71"/>
      <c r="G257" s="70"/>
      <c r="H257" s="71"/>
      <c r="I257" s="73"/>
      <c r="J257" s="74"/>
      <c r="K257" s="74"/>
      <c r="L257" s="74"/>
    </row>
    <row r="258" spans="1:12" x14ac:dyDescent="0.3">
      <c r="A258" s="27"/>
      <c r="B258" s="27"/>
      <c r="C258" s="27"/>
      <c r="D258" s="130">
        <f t="shared" si="5"/>
        <v>0</v>
      </c>
      <c r="E258" s="70"/>
      <c r="F258" s="71"/>
      <c r="G258" s="70"/>
      <c r="H258" s="71"/>
      <c r="I258" s="73"/>
      <c r="J258" s="74"/>
      <c r="K258" s="74"/>
      <c r="L258" s="74"/>
    </row>
    <row r="259" spans="1:12" x14ac:dyDescent="0.3">
      <c r="A259" s="27"/>
      <c r="B259" s="27"/>
      <c r="C259" s="27"/>
      <c r="D259" s="130">
        <f t="shared" si="5"/>
        <v>0</v>
      </c>
      <c r="E259" s="70"/>
      <c r="F259" s="71"/>
      <c r="G259" s="70"/>
      <c r="H259" s="71"/>
      <c r="I259" s="73"/>
      <c r="J259" s="74"/>
      <c r="K259" s="74"/>
      <c r="L259" s="74"/>
    </row>
    <row r="260" spans="1:12" x14ac:dyDescent="0.3">
      <c r="A260" s="27"/>
      <c r="B260" s="27"/>
      <c r="C260" s="27"/>
      <c r="D260" s="130">
        <f t="shared" si="5"/>
        <v>0</v>
      </c>
      <c r="E260" s="70"/>
      <c r="F260" s="71"/>
      <c r="G260" s="70"/>
      <c r="H260" s="71"/>
      <c r="I260" s="73"/>
      <c r="J260" s="74"/>
      <c r="K260" s="74"/>
      <c r="L260" s="74"/>
    </row>
    <row r="261" spans="1:12" x14ac:dyDescent="0.3">
      <c r="A261" s="27"/>
      <c r="B261" s="27"/>
      <c r="C261" s="27"/>
      <c r="D261" s="130">
        <f t="shared" si="5"/>
        <v>0</v>
      </c>
      <c r="E261" s="70"/>
      <c r="F261" s="71"/>
      <c r="G261" s="70"/>
      <c r="H261" s="71"/>
      <c r="I261" s="73"/>
      <c r="J261" s="74"/>
      <c r="K261" s="74"/>
      <c r="L261" s="74"/>
    </row>
    <row r="262" spans="1:12" x14ac:dyDescent="0.3">
      <c r="A262" s="27"/>
      <c r="B262" s="27"/>
      <c r="C262" s="27"/>
      <c r="D262" s="130">
        <f t="shared" si="5"/>
        <v>0</v>
      </c>
      <c r="E262" s="70"/>
      <c r="F262" s="71"/>
      <c r="G262" s="70"/>
      <c r="H262" s="71"/>
      <c r="I262" s="73"/>
      <c r="J262" s="74"/>
      <c r="K262" s="74"/>
      <c r="L262" s="74"/>
    </row>
    <row r="263" spans="1:12" x14ac:dyDescent="0.3">
      <c r="A263" s="27"/>
      <c r="B263" s="27"/>
      <c r="C263" s="27"/>
      <c r="D263" s="130">
        <f t="shared" si="5"/>
        <v>0</v>
      </c>
      <c r="E263" s="70"/>
      <c r="F263" s="71"/>
      <c r="G263" s="70"/>
      <c r="H263" s="71"/>
      <c r="I263" s="73"/>
      <c r="J263" s="74"/>
      <c r="K263" s="74"/>
      <c r="L263" s="74"/>
    </row>
    <row r="264" spans="1:12" x14ac:dyDescent="0.3">
      <c r="A264" s="27"/>
      <c r="B264" s="27"/>
      <c r="C264" s="27"/>
      <c r="D264" s="130">
        <f t="shared" ref="D264:D327" si="6">B264*$F$2+C264*$F$3</f>
        <v>0</v>
      </c>
      <c r="E264" s="70"/>
      <c r="F264" s="71"/>
      <c r="G264" s="70"/>
      <c r="H264" s="71"/>
      <c r="I264" s="73"/>
      <c r="J264" s="74"/>
      <c r="K264" s="74"/>
      <c r="L264" s="74"/>
    </row>
    <row r="265" spans="1:12" x14ac:dyDescent="0.3">
      <c r="A265" s="27"/>
      <c r="B265" s="27"/>
      <c r="C265" s="27"/>
      <c r="D265" s="130">
        <f t="shared" si="6"/>
        <v>0</v>
      </c>
      <c r="E265" s="70"/>
      <c r="F265" s="71"/>
      <c r="G265" s="70"/>
      <c r="H265" s="71"/>
      <c r="I265" s="73"/>
      <c r="J265" s="74"/>
      <c r="K265" s="74"/>
      <c r="L265" s="74"/>
    </row>
    <row r="266" spans="1:12" x14ac:dyDescent="0.3">
      <c r="A266" s="27"/>
      <c r="B266" s="27"/>
      <c r="C266" s="27"/>
      <c r="D266" s="130">
        <f t="shared" si="6"/>
        <v>0</v>
      </c>
      <c r="E266" s="70"/>
      <c r="F266" s="71"/>
      <c r="G266" s="70"/>
      <c r="H266" s="71"/>
      <c r="I266" s="73"/>
      <c r="J266" s="74"/>
      <c r="K266" s="74"/>
      <c r="L266" s="74"/>
    </row>
    <row r="267" spans="1:12" x14ac:dyDescent="0.3">
      <c r="A267" s="27"/>
      <c r="B267" s="27"/>
      <c r="C267" s="27"/>
      <c r="D267" s="130">
        <f t="shared" si="6"/>
        <v>0</v>
      </c>
      <c r="E267" s="70"/>
      <c r="F267" s="71"/>
      <c r="G267" s="70"/>
      <c r="H267" s="71"/>
      <c r="I267" s="73"/>
      <c r="J267" s="74"/>
      <c r="K267" s="74"/>
      <c r="L267" s="74"/>
    </row>
    <row r="268" spans="1:12" x14ac:dyDescent="0.3">
      <c r="A268" s="27"/>
      <c r="B268" s="27"/>
      <c r="C268" s="27"/>
      <c r="D268" s="130">
        <f t="shared" si="6"/>
        <v>0</v>
      </c>
      <c r="E268" s="70"/>
      <c r="F268" s="71"/>
      <c r="G268" s="70"/>
      <c r="H268" s="71"/>
      <c r="I268" s="73"/>
      <c r="J268" s="74"/>
      <c r="K268" s="74"/>
      <c r="L268" s="74"/>
    </row>
    <row r="269" spans="1:12" x14ac:dyDescent="0.3">
      <c r="A269" s="27"/>
      <c r="B269" s="27"/>
      <c r="C269" s="27"/>
      <c r="D269" s="130">
        <f t="shared" si="6"/>
        <v>0</v>
      </c>
      <c r="E269" s="70"/>
      <c r="F269" s="71"/>
      <c r="G269" s="70"/>
      <c r="H269" s="71"/>
      <c r="I269" s="73"/>
      <c r="J269" s="74"/>
      <c r="K269" s="74"/>
      <c r="L269" s="74"/>
    </row>
    <row r="270" spans="1:12" x14ac:dyDescent="0.3">
      <c r="A270" s="27"/>
      <c r="B270" s="27"/>
      <c r="C270" s="27"/>
      <c r="D270" s="130">
        <f t="shared" si="6"/>
        <v>0</v>
      </c>
      <c r="E270" s="70"/>
      <c r="F270" s="71"/>
      <c r="G270" s="70"/>
      <c r="H270" s="71"/>
      <c r="I270" s="73"/>
      <c r="J270" s="74"/>
      <c r="K270" s="74"/>
      <c r="L270" s="74"/>
    </row>
    <row r="271" spans="1:12" x14ac:dyDescent="0.3">
      <c r="A271" s="27"/>
      <c r="B271" s="27"/>
      <c r="C271" s="27"/>
      <c r="D271" s="130">
        <f t="shared" si="6"/>
        <v>0</v>
      </c>
      <c r="E271" s="70"/>
      <c r="F271" s="71"/>
      <c r="G271" s="70"/>
      <c r="H271" s="71"/>
      <c r="I271" s="73"/>
      <c r="J271" s="74"/>
      <c r="K271" s="74"/>
      <c r="L271" s="74"/>
    </row>
    <row r="272" spans="1:12" x14ac:dyDescent="0.3">
      <c r="A272" s="27"/>
      <c r="B272" s="27"/>
      <c r="C272" s="27"/>
      <c r="D272" s="130">
        <f t="shared" si="6"/>
        <v>0</v>
      </c>
      <c r="E272" s="70"/>
      <c r="F272" s="71"/>
      <c r="G272" s="70"/>
      <c r="H272" s="71"/>
      <c r="I272" s="73"/>
      <c r="J272" s="74"/>
      <c r="K272" s="74"/>
      <c r="L272" s="74"/>
    </row>
    <row r="273" spans="1:12" x14ac:dyDescent="0.3">
      <c r="A273" s="27"/>
      <c r="B273" s="27"/>
      <c r="C273" s="27"/>
      <c r="D273" s="130">
        <f t="shared" si="6"/>
        <v>0</v>
      </c>
      <c r="E273" s="70"/>
      <c r="F273" s="71"/>
      <c r="G273" s="70"/>
      <c r="H273" s="71"/>
      <c r="I273" s="73"/>
      <c r="J273" s="74"/>
      <c r="K273" s="74"/>
      <c r="L273" s="74"/>
    </row>
    <row r="274" spans="1:12" x14ac:dyDescent="0.3">
      <c r="A274" s="27"/>
      <c r="B274" s="27"/>
      <c r="C274" s="27"/>
      <c r="D274" s="130">
        <f t="shared" si="6"/>
        <v>0</v>
      </c>
      <c r="E274" s="70"/>
      <c r="F274" s="71"/>
      <c r="G274" s="70"/>
      <c r="H274" s="71"/>
      <c r="I274" s="73"/>
      <c r="J274" s="74"/>
      <c r="K274" s="74"/>
      <c r="L274" s="74"/>
    </row>
    <row r="275" spans="1:12" x14ac:dyDescent="0.3">
      <c r="A275" s="27"/>
      <c r="B275" s="27"/>
      <c r="C275" s="27"/>
      <c r="D275" s="130">
        <f t="shared" si="6"/>
        <v>0</v>
      </c>
      <c r="E275" s="70"/>
      <c r="F275" s="71"/>
      <c r="G275" s="70"/>
      <c r="H275" s="71"/>
      <c r="I275" s="73"/>
      <c r="J275" s="74"/>
      <c r="K275" s="74"/>
      <c r="L275" s="74"/>
    </row>
    <row r="276" spans="1:12" x14ac:dyDescent="0.3">
      <c r="A276" s="27"/>
      <c r="B276" s="27"/>
      <c r="C276" s="27"/>
      <c r="D276" s="130">
        <f t="shared" si="6"/>
        <v>0</v>
      </c>
      <c r="E276" s="70"/>
      <c r="F276" s="71"/>
      <c r="G276" s="70"/>
      <c r="H276" s="71"/>
      <c r="I276" s="73"/>
      <c r="J276" s="74"/>
      <c r="K276" s="74"/>
      <c r="L276" s="74"/>
    </row>
    <row r="277" spans="1:12" x14ac:dyDescent="0.3">
      <c r="A277" s="27"/>
      <c r="B277" s="27"/>
      <c r="C277" s="27"/>
      <c r="D277" s="130">
        <f t="shared" si="6"/>
        <v>0</v>
      </c>
      <c r="E277" s="70"/>
      <c r="F277" s="71"/>
      <c r="G277" s="70"/>
      <c r="H277" s="71"/>
      <c r="I277" s="73"/>
      <c r="J277" s="74"/>
      <c r="K277" s="74"/>
      <c r="L277" s="74"/>
    </row>
    <row r="278" spans="1:12" x14ac:dyDescent="0.3">
      <c r="A278" s="27"/>
      <c r="B278" s="27"/>
      <c r="C278" s="27"/>
      <c r="D278" s="130">
        <f t="shared" si="6"/>
        <v>0</v>
      </c>
      <c r="E278" s="70"/>
      <c r="F278" s="71"/>
      <c r="G278" s="70"/>
      <c r="H278" s="71"/>
      <c r="I278" s="73"/>
      <c r="J278" s="74"/>
      <c r="K278" s="74"/>
      <c r="L278" s="74"/>
    </row>
    <row r="279" spans="1:12" x14ac:dyDescent="0.3">
      <c r="A279" s="27"/>
      <c r="B279" s="27"/>
      <c r="C279" s="27"/>
      <c r="D279" s="130">
        <f t="shared" si="6"/>
        <v>0</v>
      </c>
      <c r="E279" s="70"/>
      <c r="F279" s="71"/>
      <c r="G279" s="70"/>
      <c r="H279" s="71"/>
      <c r="I279" s="73"/>
      <c r="J279" s="74"/>
      <c r="K279" s="74"/>
      <c r="L279" s="74"/>
    </row>
    <row r="280" spans="1:12" x14ac:dyDescent="0.3">
      <c r="A280" s="27"/>
      <c r="B280" s="27"/>
      <c r="C280" s="27"/>
      <c r="D280" s="130">
        <f t="shared" si="6"/>
        <v>0</v>
      </c>
      <c r="E280" s="70"/>
      <c r="F280" s="71"/>
      <c r="G280" s="70"/>
      <c r="H280" s="71"/>
      <c r="I280" s="73"/>
      <c r="J280" s="74"/>
      <c r="K280" s="74"/>
      <c r="L280" s="74"/>
    </row>
    <row r="281" spans="1:12" x14ac:dyDescent="0.3">
      <c r="A281" s="27"/>
      <c r="B281" s="27"/>
      <c r="C281" s="27"/>
      <c r="D281" s="130">
        <f t="shared" si="6"/>
        <v>0</v>
      </c>
      <c r="E281" s="70"/>
      <c r="F281" s="71"/>
      <c r="G281" s="70"/>
      <c r="H281" s="71"/>
      <c r="I281" s="73"/>
      <c r="J281" s="74"/>
      <c r="K281" s="74"/>
      <c r="L281" s="74"/>
    </row>
    <row r="282" spans="1:12" x14ac:dyDescent="0.3">
      <c r="A282" s="27"/>
      <c r="B282" s="27"/>
      <c r="C282" s="27"/>
      <c r="D282" s="130">
        <f t="shared" si="6"/>
        <v>0</v>
      </c>
      <c r="E282" s="70"/>
      <c r="F282" s="71"/>
      <c r="G282" s="70"/>
      <c r="H282" s="71"/>
      <c r="I282" s="73"/>
      <c r="J282" s="74"/>
      <c r="K282" s="74"/>
      <c r="L282" s="74"/>
    </row>
    <row r="283" spans="1:12" x14ac:dyDescent="0.3">
      <c r="A283" s="27"/>
      <c r="B283" s="27"/>
      <c r="C283" s="27"/>
      <c r="D283" s="130">
        <f t="shared" si="6"/>
        <v>0</v>
      </c>
      <c r="E283" s="70"/>
      <c r="F283" s="71"/>
      <c r="G283" s="70"/>
      <c r="H283" s="71"/>
      <c r="I283" s="73"/>
      <c r="J283" s="74"/>
      <c r="K283" s="74"/>
      <c r="L283" s="74"/>
    </row>
    <row r="284" spans="1:12" x14ac:dyDescent="0.3">
      <c r="A284" s="27"/>
      <c r="B284" s="27"/>
      <c r="C284" s="27"/>
      <c r="D284" s="130">
        <f t="shared" si="6"/>
        <v>0</v>
      </c>
      <c r="E284" s="70"/>
      <c r="F284" s="71"/>
      <c r="G284" s="70"/>
      <c r="H284" s="71"/>
      <c r="I284" s="73"/>
      <c r="J284" s="74"/>
      <c r="K284" s="74"/>
      <c r="L284" s="74"/>
    </row>
    <row r="285" spans="1:12" x14ac:dyDescent="0.3">
      <c r="A285" s="27"/>
      <c r="B285" s="27"/>
      <c r="C285" s="27"/>
      <c r="D285" s="130">
        <f t="shared" si="6"/>
        <v>0</v>
      </c>
      <c r="E285" s="70"/>
      <c r="F285" s="71"/>
      <c r="G285" s="70"/>
      <c r="H285" s="71"/>
      <c r="I285" s="73"/>
      <c r="J285" s="74"/>
      <c r="K285" s="74"/>
      <c r="L285" s="74"/>
    </row>
    <row r="286" spans="1:12" x14ac:dyDescent="0.3">
      <c r="A286" s="27"/>
      <c r="B286" s="27"/>
      <c r="C286" s="27"/>
      <c r="D286" s="130">
        <f t="shared" si="6"/>
        <v>0</v>
      </c>
      <c r="E286" s="70"/>
      <c r="F286" s="71"/>
      <c r="G286" s="70"/>
      <c r="H286" s="71"/>
      <c r="I286" s="73"/>
      <c r="J286" s="74"/>
      <c r="K286" s="74"/>
      <c r="L286" s="74"/>
    </row>
    <row r="287" spans="1:12" x14ac:dyDescent="0.3">
      <c r="A287" s="27"/>
      <c r="B287" s="27"/>
      <c r="C287" s="27"/>
      <c r="D287" s="130">
        <f t="shared" si="6"/>
        <v>0</v>
      </c>
      <c r="E287" s="70"/>
      <c r="F287" s="71"/>
      <c r="G287" s="70"/>
      <c r="H287" s="71"/>
      <c r="I287" s="73"/>
      <c r="J287" s="74"/>
      <c r="K287" s="74"/>
      <c r="L287" s="74"/>
    </row>
    <row r="288" spans="1:12" x14ac:dyDescent="0.3">
      <c r="A288" s="27"/>
      <c r="B288" s="27"/>
      <c r="C288" s="27"/>
      <c r="D288" s="130">
        <f t="shared" si="6"/>
        <v>0</v>
      </c>
      <c r="E288" s="70"/>
      <c r="F288" s="71"/>
      <c r="G288" s="70"/>
      <c r="H288" s="71"/>
      <c r="I288" s="73"/>
      <c r="J288" s="74"/>
      <c r="K288" s="74"/>
      <c r="L288" s="74"/>
    </row>
    <row r="289" spans="1:12" x14ac:dyDescent="0.3">
      <c r="A289" s="27"/>
      <c r="B289" s="27"/>
      <c r="C289" s="27"/>
      <c r="D289" s="130">
        <f t="shared" si="6"/>
        <v>0</v>
      </c>
      <c r="E289" s="70"/>
      <c r="F289" s="71"/>
      <c r="G289" s="70"/>
      <c r="H289" s="71"/>
      <c r="I289" s="73"/>
      <c r="J289" s="74"/>
      <c r="K289" s="74"/>
      <c r="L289" s="74"/>
    </row>
    <row r="290" spans="1:12" x14ac:dyDescent="0.3">
      <c r="A290" s="27"/>
      <c r="B290" s="27"/>
      <c r="C290" s="27"/>
      <c r="D290" s="130">
        <f t="shared" si="6"/>
        <v>0</v>
      </c>
      <c r="E290" s="70"/>
      <c r="F290" s="71"/>
      <c r="G290" s="70"/>
      <c r="H290" s="71"/>
      <c r="I290" s="73"/>
      <c r="J290" s="74"/>
      <c r="K290" s="74"/>
      <c r="L290" s="74"/>
    </row>
    <row r="291" spans="1:12" x14ac:dyDescent="0.3">
      <c r="A291" s="27"/>
      <c r="B291" s="27"/>
      <c r="C291" s="27"/>
      <c r="D291" s="130">
        <f t="shared" si="6"/>
        <v>0</v>
      </c>
      <c r="E291" s="70"/>
      <c r="F291" s="71"/>
      <c r="G291" s="70"/>
      <c r="H291" s="71"/>
      <c r="I291" s="73"/>
      <c r="J291" s="74"/>
      <c r="K291" s="74"/>
      <c r="L291" s="74"/>
    </row>
    <row r="292" spans="1:12" x14ac:dyDescent="0.3">
      <c r="A292" s="27"/>
      <c r="B292" s="27"/>
      <c r="C292" s="27"/>
      <c r="D292" s="130">
        <f t="shared" si="6"/>
        <v>0</v>
      </c>
      <c r="E292" s="70"/>
      <c r="F292" s="71"/>
      <c r="G292" s="70"/>
      <c r="H292" s="71"/>
      <c r="I292" s="73"/>
      <c r="J292" s="74"/>
      <c r="K292" s="74"/>
      <c r="L292" s="74"/>
    </row>
    <row r="293" spans="1:12" x14ac:dyDescent="0.3">
      <c r="A293" s="27"/>
      <c r="B293" s="27"/>
      <c r="C293" s="27"/>
      <c r="D293" s="130">
        <f t="shared" si="6"/>
        <v>0</v>
      </c>
      <c r="E293" s="70"/>
      <c r="F293" s="71"/>
      <c r="G293" s="70"/>
      <c r="H293" s="71"/>
      <c r="I293" s="73"/>
      <c r="J293" s="74"/>
      <c r="K293" s="74"/>
      <c r="L293" s="74"/>
    </row>
    <row r="294" spans="1:12" x14ac:dyDescent="0.3">
      <c r="A294" s="27"/>
      <c r="B294" s="27"/>
      <c r="C294" s="27"/>
      <c r="D294" s="130">
        <f t="shared" si="6"/>
        <v>0</v>
      </c>
      <c r="E294" s="70"/>
      <c r="F294" s="71"/>
      <c r="G294" s="70"/>
      <c r="H294" s="71"/>
      <c r="I294" s="73"/>
      <c r="J294" s="74"/>
      <c r="K294" s="74"/>
      <c r="L294" s="74"/>
    </row>
    <row r="295" spans="1:12" x14ac:dyDescent="0.3">
      <c r="A295" s="27"/>
      <c r="B295" s="27"/>
      <c r="C295" s="27"/>
      <c r="D295" s="130">
        <f t="shared" si="6"/>
        <v>0</v>
      </c>
      <c r="E295" s="70"/>
      <c r="F295" s="71"/>
      <c r="G295" s="70"/>
      <c r="H295" s="71"/>
      <c r="I295" s="73"/>
      <c r="J295" s="74"/>
      <c r="K295" s="74"/>
      <c r="L295" s="74"/>
    </row>
    <row r="296" spans="1:12" x14ac:dyDescent="0.3">
      <c r="A296" s="27"/>
      <c r="B296" s="27"/>
      <c r="C296" s="27"/>
      <c r="D296" s="130">
        <f t="shared" si="6"/>
        <v>0</v>
      </c>
      <c r="E296" s="70"/>
      <c r="F296" s="71"/>
      <c r="G296" s="70"/>
      <c r="H296" s="71"/>
      <c r="I296" s="73"/>
      <c r="J296" s="74"/>
      <c r="K296" s="74"/>
      <c r="L296" s="74"/>
    </row>
    <row r="297" spans="1:12" x14ac:dyDescent="0.3">
      <c r="A297" s="27"/>
      <c r="B297" s="27"/>
      <c r="C297" s="27"/>
      <c r="D297" s="130">
        <f t="shared" si="6"/>
        <v>0</v>
      </c>
      <c r="E297" s="70"/>
      <c r="F297" s="71"/>
      <c r="G297" s="70"/>
      <c r="H297" s="71"/>
      <c r="I297" s="73"/>
      <c r="J297" s="74"/>
      <c r="K297" s="74"/>
      <c r="L297" s="74"/>
    </row>
    <row r="298" spans="1:12" x14ac:dyDescent="0.3">
      <c r="A298" s="27"/>
      <c r="B298" s="27"/>
      <c r="C298" s="27"/>
      <c r="D298" s="130">
        <f t="shared" si="6"/>
        <v>0</v>
      </c>
      <c r="E298" s="70"/>
      <c r="F298" s="71"/>
      <c r="G298" s="70"/>
      <c r="H298" s="71"/>
      <c r="I298" s="73"/>
      <c r="J298" s="74"/>
      <c r="K298" s="74"/>
      <c r="L298" s="74"/>
    </row>
    <row r="299" spans="1:12" x14ac:dyDescent="0.3">
      <c r="A299" s="27"/>
      <c r="B299" s="27"/>
      <c r="C299" s="27"/>
      <c r="D299" s="130">
        <f t="shared" si="6"/>
        <v>0</v>
      </c>
      <c r="E299" s="70"/>
      <c r="F299" s="71"/>
      <c r="G299" s="70"/>
      <c r="H299" s="71"/>
      <c r="I299" s="73"/>
      <c r="J299" s="74"/>
      <c r="K299" s="74"/>
      <c r="L299" s="74"/>
    </row>
    <row r="300" spans="1:12" x14ac:dyDescent="0.3">
      <c r="A300" s="27"/>
      <c r="B300" s="27"/>
      <c r="C300" s="27"/>
      <c r="D300" s="130">
        <f t="shared" si="6"/>
        <v>0</v>
      </c>
      <c r="E300" s="70"/>
      <c r="F300" s="71"/>
      <c r="G300" s="70"/>
      <c r="H300" s="71"/>
      <c r="I300" s="73"/>
      <c r="J300" s="74"/>
      <c r="K300" s="74"/>
      <c r="L300" s="74"/>
    </row>
    <row r="301" spans="1:12" x14ac:dyDescent="0.3">
      <c r="A301" s="27"/>
      <c r="B301" s="27"/>
      <c r="C301" s="27"/>
      <c r="D301" s="130">
        <f t="shared" si="6"/>
        <v>0</v>
      </c>
      <c r="E301" s="70"/>
      <c r="F301" s="71"/>
      <c r="G301" s="70"/>
      <c r="H301" s="71"/>
      <c r="I301" s="73"/>
      <c r="J301" s="74"/>
      <c r="K301" s="74"/>
      <c r="L301" s="74"/>
    </row>
    <row r="302" spans="1:12" x14ac:dyDescent="0.3">
      <c r="A302" s="27"/>
      <c r="B302" s="27"/>
      <c r="C302" s="27"/>
      <c r="D302" s="130">
        <f t="shared" si="6"/>
        <v>0</v>
      </c>
      <c r="E302" s="70"/>
      <c r="F302" s="71"/>
      <c r="G302" s="70"/>
      <c r="H302" s="71"/>
      <c r="I302" s="73"/>
      <c r="J302" s="74"/>
      <c r="K302" s="74"/>
      <c r="L302" s="74"/>
    </row>
    <row r="303" spans="1:12" x14ac:dyDescent="0.3">
      <c r="A303" s="27"/>
      <c r="B303" s="27"/>
      <c r="C303" s="27"/>
      <c r="D303" s="130">
        <f t="shared" si="6"/>
        <v>0</v>
      </c>
      <c r="E303" s="70"/>
      <c r="F303" s="71"/>
      <c r="G303" s="70"/>
      <c r="H303" s="71"/>
      <c r="I303" s="73"/>
      <c r="J303" s="74"/>
      <c r="K303" s="74"/>
      <c r="L303" s="74"/>
    </row>
    <row r="304" spans="1:12" x14ac:dyDescent="0.3">
      <c r="A304" s="27"/>
      <c r="B304" s="27"/>
      <c r="C304" s="27"/>
      <c r="D304" s="130">
        <f t="shared" si="6"/>
        <v>0</v>
      </c>
      <c r="E304" s="70"/>
      <c r="F304" s="71"/>
      <c r="G304" s="70"/>
      <c r="H304" s="71"/>
      <c r="I304" s="73"/>
      <c r="J304" s="74"/>
      <c r="K304" s="74"/>
      <c r="L304" s="74"/>
    </row>
    <row r="305" spans="1:12" x14ac:dyDescent="0.3">
      <c r="A305" s="27"/>
      <c r="B305" s="27"/>
      <c r="C305" s="27"/>
      <c r="D305" s="130">
        <f t="shared" si="6"/>
        <v>0</v>
      </c>
      <c r="E305" s="70"/>
      <c r="F305" s="71"/>
      <c r="G305" s="70"/>
      <c r="H305" s="71"/>
      <c r="I305" s="73"/>
      <c r="J305" s="74"/>
      <c r="K305" s="74"/>
      <c r="L305" s="74"/>
    </row>
    <row r="306" spans="1:12" x14ac:dyDescent="0.3">
      <c r="A306" s="27"/>
      <c r="B306" s="27"/>
      <c r="C306" s="27"/>
      <c r="D306" s="130">
        <f t="shared" si="6"/>
        <v>0</v>
      </c>
      <c r="E306" s="70"/>
      <c r="F306" s="71"/>
      <c r="G306" s="70"/>
      <c r="H306" s="71"/>
      <c r="I306" s="73"/>
      <c r="J306" s="74"/>
      <c r="K306" s="74"/>
      <c r="L306" s="74"/>
    </row>
    <row r="307" spans="1:12" x14ac:dyDescent="0.3">
      <c r="A307" s="27"/>
      <c r="B307" s="27"/>
      <c r="C307" s="27"/>
      <c r="D307" s="130">
        <f t="shared" si="6"/>
        <v>0</v>
      </c>
      <c r="E307" s="70"/>
      <c r="F307" s="71"/>
      <c r="G307" s="70"/>
      <c r="H307" s="71"/>
      <c r="I307" s="73"/>
      <c r="J307" s="74"/>
      <c r="K307" s="74"/>
      <c r="L307" s="74"/>
    </row>
    <row r="308" spans="1:12" x14ac:dyDescent="0.3">
      <c r="A308" s="27"/>
      <c r="B308" s="27"/>
      <c r="C308" s="27"/>
      <c r="D308" s="130">
        <f t="shared" si="6"/>
        <v>0</v>
      </c>
      <c r="E308" s="70"/>
      <c r="F308" s="71"/>
      <c r="G308" s="70"/>
      <c r="H308" s="71"/>
      <c r="I308" s="73"/>
      <c r="J308" s="74"/>
      <c r="K308" s="74"/>
      <c r="L308" s="74"/>
    </row>
    <row r="309" spans="1:12" x14ac:dyDescent="0.3">
      <c r="A309" s="27"/>
      <c r="B309" s="27"/>
      <c r="C309" s="27"/>
      <c r="D309" s="130">
        <f t="shared" si="6"/>
        <v>0</v>
      </c>
      <c r="E309" s="70"/>
      <c r="F309" s="71"/>
      <c r="G309" s="70"/>
      <c r="H309" s="71"/>
      <c r="I309" s="73"/>
      <c r="J309" s="74"/>
      <c r="K309" s="74"/>
      <c r="L309" s="74"/>
    </row>
    <row r="310" spans="1:12" x14ac:dyDescent="0.3">
      <c r="A310" s="27"/>
      <c r="B310" s="27"/>
      <c r="C310" s="27"/>
      <c r="D310" s="130">
        <f t="shared" si="6"/>
        <v>0</v>
      </c>
      <c r="E310" s="70"/>
      <c r="F310" s="71"/>
      <c r="G310" s="70"/>
      <c r="H310" s="71"/>
      <c r="I310" s="73"/>
      <c r="J310" s="74"/>
      <c r="K310" s="74"/>
      <c r="L310" s="74"/>
    </row>
    <row r="311" spans="1:12" x14ac:dyDescent="0.3">
      <c r="A311" s="27"/>
      <c r="B311" s="27"/>
      <c r="C311" s="27"/>
      <c r="D311" s="130">
        <f t="shared" si="6"/>
        <v>0</v>
      </c>
      <c r="E311" s="70"/>
      <c r="F311" s="71"/>
      <c r="G311" s="70"/>
      <c r="H311" s="71"/>
      <c r="I311" s="73"/>
      <c r="J311" s="74"/>
      <c r="K311" s="74"/>
      <c r="L311" s="74"/>
    </row>
    <row r="312" spans="1:12" x14ac:dyDescent="0.3">
      <c r="A312" s="27"/>
      <c r="B312" s="27"/>
      <c r="C312" s="27"/>
      <c r="D312" s="130">
        <f t="shared" si="6"/>
        <v>0</v>
      </c>
      <c r="E312" s="70"/>
      <c r="F312" s="71"/>
      <c r="G312" s="70"/>
      <c r="H312" s="71"/>
      <c r="I312" s="73"/>
      <c r="J312" s="74"/>
      <c r="K312" s="74"/>
      <c r="L312" s="74"/>
    </row>
    <row r="313" spans="1:12" x14ac:dyDescent="0.3">
      <c r="A313" s="27"/>
      <c r="B313" s="27"/>
      <c r="C313" s="27"/>
      <c r="D313" s="130">
        <f t="shared" si="6"/>
        <v>0</v>
      </c>
      <c r="E313" s="70"/>
      <c r="F313" s="71"/>
      <c r="G313" s="70"/>
      <c r="H313" s="71"/>
      <c r="I313" s="73"/>
      <c r="J313" s="74"/>
      <c r="K313" s="74"/>
      <c r="L313" s="74"/>
    </row>
    <row r="314" spans="1:12" x14ac:dyDescent="0.3">
      <c r="A314" s="27"/>
      <c r="B314" s="27"/>
      <c r="C314" s="27"/>
      <c r="D314" s="130">
        <f t="shared" si="6"/>
        <v>0</v>
      </c>
      <c r="E314" s="70"/>
      <c r="F314" s="71"/>
      <c r="G314" s="70"/>
      <c r="H314" s="71"/>
      <c r="I314" s="73"/>
      <c r="J314" s="74"/>
      <c r="K314" s="74"/>
      <c r="L314" s="74"/>
    </row>
    <row r="315" spans="1:12" x14ac:dyDescent="0.3">
      <c r="A315" s="27"/>
      <c r="B315" s="27"/>
      <c r="C315" s="27"/>
      <c r="D315" s="130">
        <f t="shared" si="6"/>
        <v>0</v>
      </c>
      <c r="E315" s="70"/>
      <c r="F315" s="71"/>
      <c r="G315" s="70"/>
      <c r="H315" s="71"/>
      <c r="I315" s="73"/>
      <c r="J315" s="74"/>
      <c r="K315" s="74"/>
      <c r="L315" s="74"/>
    </row>
    <row r="316" spans="1:12" x14ac:dyDescent="0.3">
      <c r="A316" s="27"/>
      <c r="B316" s="27"/>
      <c r="C316" s="27"/>
      <c r="D316" s="130">
        <f t="shared" si="6"/>
        <v>0</v>
      </c>
      <c r="E316" s="70"/>
      <c r="F316" s="71"/>
      <c r="G316" s="70"/>
      <c r="H316" s="71"/>
      <c r="I316" s="73"/>
      <c r="J316" s="74"/>
      <c r="K316" s="74"/>
      <c r="L316" s="74"/>
    </row>
    <row r="317" spans="1:12" x14ac:dyDescent="0.3">
      <c r="A317" s="27"/>
      <c r="B317" s="27"/>
      <c r="C317" s="27"/>
      <c r="D317" s="130">
        <f t="shared" si="6"/>
        <v>0</v>
      </c>
      <c r="E317" s="70"/>
      <c r="F317" s="71"/>
      <c r="G317" s="70"/>
      <c r="H317" s="71"/>
      <c r="I317" s="73"/>
      <c r="J317" s="74"/>
      <c r="K317" s="74"/>
      <c r="L317" s="74"/>
    </row>
    <row r="318" spans="1:12" x14ac:dyDescent="0.3">
      <c r="A318" s="27"/>
      <c r="B318" s="27"/>
      <c r="C318" s="27"/>
      <c r="D318" s="130">
        <f t="shared" si="6"/>
        <v>0</v>
      </c>
      <c r="E318" s="70"/>
      <c r="F318" s="71"/>
      <c r="G318" s="70"/>
      <c r="H318" s="71"/>
      <c r="I318" s="73"/>
      <c r="J318" s="74"/>
      <c r="K318" s="74"/>
      <c r="L318" s="74"/>
    </row>
    <row r="319" spans="1:12" x14ac:dyDescent="0.3">
      <c r="A319" s="27"/>
      <c r="B319" s="27"/>
      <c r="C319" s="27"/>
      <c r="D319" s="130">
        <f t="shared" si="6"/>
        <v>0</v>
      </c>
      <c r="E319" s="70"/>
      <c r="F319" s="71"/>
      <c r="G319" s="70"/>
      <c r="H319" s="71"/>
      <c r="I319" s="73"/>
      <c r="J319" s="74"/>
      <c r="K319" s="74"/>
      <c r="L319" s="74"/>
    </row>
    <row r="320" spans="1:12" x14ac:dyDescent="0.3">
      <c r="A320" s="27"/>
      <c r="B320" s="27"/>
      <c r="C320" s="27"/>
      <c r="D320" s="130">
        <f t="shared" si="6"/>
        <v>0</v>
      </c>
      <c r="E320" s="70"/>
      <c r="F320" s="71"/>
      <c r="G320" s="70"/>
      <c r="H320" s="71"/>
      <c r="I320" s="73"/>
      <c r="J320" s="74"/>
      <c r="K320" s="74"/>
      <c r="L320" s="74"/>
    </row>
    <row r="321" spans="1:12" x14ac:dyDescent="0.3">
      <c r="A321" s="27"/>
      <c r="B321" s="27"/>
      <c r="C321" s="27"/>
      <c r="D321" s="130">
        <f t="shared" si="6"/>
        <v>0</v>
      </c>
      <c r="E321" s="70"/>
      <c r="F321" s="71"/>
      <c r="G321" s="70"/>
      <c r="H321" s="71"/>
      <c r="I321" s="73"/>
      <c r="J321" s="74"/>
      <c r="K321" s="74"/>
      <c r="L321" s="74"/>
    </row>
    <row r="322" spans="1:12" x14ac:dyDescent="0.3">
      <c r="A322" s="27"/>
      <c r="B322" s="27"/>
      <c r="C322" s="27"/>
      <c r="D322" s="130">
        <f t="shared" si="6"/>
        <v>0</v>
      </c>
      <c r="E322" s="70"/>
      <c r="F322" s="71"/>
      <c r="G322" s="70"/>
      <c r="H322" s="71"/>
      <c r="I322" s="73"/>
      <c r="J322" s="74"/>
      <c r="K322" s="74"/>
      <c r="L322" s="74"/>
    </row>
    <row r="323" spans="1:12" x14ac:dyDescent="0.3">
      <c r="A323" s="27"/>
      <c r="B323" s="27"/>
      <c r="C323" s="27"/>
      <c r="D323" s="130">
        <f t="shared" si="6"/>
        <v>0</v>
      </c>
      <c r="E323" s="70"/>
      <c r="F323" s="71"/>
      <c r="G323" s="70"/>
      <c r="H323" s="71"/>
      <c r="I323" s="73"/>
      <c r="J323" s="74"/>
      <c r="K323" s="74"/>
      <c r="L323" s="74"/>
    </row>
    <row r="324" spans="1:12" x14ac:dyDescent="0.3">
      <c r="A324" s="27"/>
      <c r="B324" s="27"/>
      <c r="C324" s="27"/>
      <c r="D324" s="130">
        <f t="shared" si="6"/>
        <v>0</v>
      </c>
      <c r="E324" s="70"/>
      <c r="F324" s="71"/>
      <c r="G324" s="70"/>
      <c r="H324" s="71"/>
      <c r="I324" s="73"/>
      <c r="J324" s="74"/>
      <c r="K324" s="74"/>
      <c r="L324" s="74"/>
    </row>
    <row r="325" spans="1:12" x14ac:dyDescent="0.3">
      <c r="A325" s="27"/>
      <c r="B325" s="27"/>
      <c r="C325" s="27"/>
      <c r="D325" s="130">
        <f t="shared" si="6"/>
        <v>0</v>
      </c>
      <c r="E325" s="70"/>
      <c r="F325" s="71"/>
      <c r="G325" s="70"/>
      <c r="H325" s="71"/>
      <c r="I325" s="73"/>
      <c r="J325" s="74"/>
      <c r="K325" s="74"/>
      <c r="L325" s="74"/>
    </row>
    <row r="326" spans="1:12" x14ac:dyDescent="0.3">
      <c r="A326" s="27"/>
      <c r="B326" s="27"/>
      <c r="C326" s="27"/>
      <c r="D326" s="130">
        <f t="shared" si="6"/>
        <v>0</v>
      </c>
      <c r="E326" s="70"/>
      <c r="F326" s="71"/>
      <c r="G326" s="70"/>
      <c r="H326" s="71"/>
      <c r="I326" s="73"/>
      <c r="J326" s="74"/>
      <c r="K326" s="74"/>
      <c r="L326" s="74"/>
    </row>
    <row r="327" spans="1:12" x14ac:dyDescent="0.3">
      <c r="A327" s="27"/>
      <c r="B327" s="27"/>
      <c r="C327" s="27"/>
      <c r="D327" s="130">
        <f t="shared" si="6"/>
        <v>0</v>
      </c>
      <c r="E327" s="70"/>
      <c r="F327" s="71"/>
      <c r="G327" s="70"/>
      <c r="H327" s="71"/>
      <c r="I327" s="73"/>
      <c r="J327" s="74"/>
      <c r="K327" s="74"/>
      <c r="L327" s="74"/>
    </row>
    <row r="328" spans="1:12" x14ac:dyDescent="0.3">
      <c r="A328" s="27"/>
      <c r="B328" s="27"/>
      <c r="C328" s="27"/>
      <c r="D328" s="130">
        <f t="shared" ref="D328:D391" si="7">B328*$F$2+C328*$F$3</f>
        <v>0</v>
      </c>
      <c r="E328" s="70"/>
      <c r="F328" s="71"/>
      <c r="G328" s="70"/>
      <c r="H328" s="71"/>
      <c r="I328" s="73"/>
      <c r="J328" s="74"/>
      <c r="K328" s="74"/>
      <c r="L328" s="74"/>
    </row>
    <row r="329" spans="1:12" x14ac:dyDescent="0.3">
      <c r="A329" s="27"/>
      <c r="B329" s="27"/>
      <c r="C329" s="27"/>
      <c r="D329" s="130">
        <f t="shared" si="7"/>
        <v>0</v>
      </c>
      <c r="E329" s="70"/>
      <c r="F329" s="71"/>
      <c r="G329" s="70"/>
      <c r="H329" s="71"/>
      <c r="I329" s="73"/>
      <c r="J329" s="74"/>
      <c r="K329" s="74"/>
      <c r="L329" s="74"/>
    </row>
    <row r="330" spans="1:12" x14ac:dyDescent="0.3">
      <c r="A330" s="27"/>
      <c r="B330" s="27"/>
      <c r="C330" s="27"/>
      <c r="D330" s="130">
        <f t="shared" si="7"/>
        <v>0</v>
      </c>
      <c r="E330" s="70"/>
      <c r="F330" s="71"/>
      <c r="G330" s="70"/>
      <c r="H330" s="71"/>
      <c r="I330" s="73"/>
      <c r="J330" s="74"/>
      <c r="K330" s="74"/>
      <c r="L330" s="74"/>
    </row>
    <row r="331" spans="1:12" x14ac:dyDescent="0.3">
      <c r="A331" s="27"/>
      <c r="B331" s="27"/>
      <c r="C331" s="27"/>
      <c r="D331" s="130">
        <f t="shared" si="7"/>
        <v>0</v>
      </c>
      <c r="E331" s="70"/>
      <c r="F331" s="71"/>
      <c r="G331" s="70"/>
      <c r="H331" s="71"/>
      <c r="I331" s="73"/>
      <c r="J331" s="74"/>
      <c r="K331" s="74"/>
      <c r="L331" s="74"/>
    </row>
    <row r="332" spans="1:12" x14ac:dyDescent="0.3">
      <c r="A332" s="27"/>
      <c r="B332" s="27"/>
      <c r="C332" s="27"/>
      <c r="D332" s="130">
        <f t="shared" si="7"/>
        <v>0</v>
      </c>
      <c r="E332" s="70"/>
      <c r="F332" s="71"/>
      <c r="G332" s="70"/>
      <c r="H332" s="71"/>
      <c r="I332" s="73"/>
      <c r="J332" s="74"/>
      <c r="K332" s="74"/>
      <c r="L332" s="74"/>
    </row>
    <row r="333" spans="1:12" x14ac:dyDescent="0.3">
      <c r="A333" s="27"/>
      <c r="B333" s="27"/>
      <c r="C333" s="27"/>
      <c r="D333" s="130">
        <f t="shared" si="7"/>
        <v>0</v>
      </c>
      <c r="E333" s="70"/>
      <c r="F333" s="71"/>
      <c r="G333" s="70"/>
      <c r="H333" s="71"/>
      <c r="I333" s="73"/>
      <c r="J333" s="74"/>
      <c r="K333" s="74"/>
      <c r="L333" s="74"/>
    </row>
    <row r="334" spans="1:12" x14ac:dyDescent="0.3">
      <c r="A334" s="27"/>
      <c r="B334" s="27"/>
      <c r="C334" s="27"/>
      <c r="D334" s="130">
        <f t="shared" si="7"/>
        <v>0</v>
      </c>
      <c r="E334" s="70"/>
      <c r="F334" s="71"/>
      <c r="G334" s="70"/>
      <c r="H334" s="71"/>
      <c r="I334" s="73"/>
      <c r="J334" s="74"/>
      <c r="K334" s="74"/>
      <c r="L334" s="74"/>
    </row>
    <row r="335" spans="1:12" x14ac:dyDescent="0.3">
      <c r="A335" s="27"/>
      <c r="B335" s="27"/>
      <c r="C335" s="27"/>
      <c r="D335" s="130">
        <f t="shared" si="7"/>
        <v>0</v>
      </c>
      <c r="E335" s="70"/>
      <c r="F335" s="71"/>
      <c r="G335" s="70"/>
      <c r="H335" s="71"/>
      <c r="I335" s="73"/>
      <c r="J335" s="74"/>
      <c r="K335" s="74"/>
      <c r="L335" s="74"/>
    </row>
    <row r="336" spans="1:12" x14ac:dyDescent="0.3">
      <c r="A336" s="27"/>
      <c r="B336" s="27"/>
      <c r="C336" s="27"/>
      <c r="D336" s="130">
        <f t="shared" si="7"/>
        <v>0</v>
      </c>
      <c r="E336" s="70"/>
      <c r="F336" s="71"/>
      <c r="G336" s="70"/>
      <c r="H336" s="71"/>
      <c r="I336" s="73"/>
      <c r="J336" s="74"/>
      <c r="K336" s="74"/>
      <c r="L336" s="74"/>
    </row>
    <row r="337" spans="1:12" x14ac:dyDescent="0.3">
      <c r="A337" s="27"/>
      <c r="B337" s="27"/>
      <c r="C337" s="27"/>
      <c r="D337" s="130">
        <f t="shared" si="7"/>
        <v>0</v>
      </c>
      <c r="E337" s="70"/>
      <c r="F337" s="71"/>
      <c r="G337" s="70"/>
      <c r="H337" s="71"/>
      <c r="I337" s="73"/>
      <c r="J337" s="74"/>
      <c r="K337" s="74"/>
      <c r="L337" s="74"/>
    </row>
    <row r="338" spans="1:12" x14ac:dyDescent="0.3">
      <c r="A338" s="27"/>
      <c r="B338" s="27"/>
      <c r="C338" s="27"/>
      <c r="D338" s="130">
        <f t="shared" si="7"/>
        <v>0</v>
      </c>
      <c r="E338" s="70"/>
      <c r="F338" s="71"/>
      <c r="G338" s="70"/>
      <c r="H338" s="71"/>
      <c r="I338" s="73"/>
      <c r="J338" s="74"/>
      <c r="K338" s="74"/>
      <c r="L338" s="74"/>
    </row>
    <row r="339" spans="1:12" x14ac:dyDescent="0.3">
      <c r="A339" s="27"/>
      <c r="B339" s="27"/>
      <c r="C339" s="27"/>
      <c r="D339" s="130">
        <f t="shared" si="7"/>
        <v>0</v>
      </c>
      <c r="E339" s="70"/>
      <c r="F339" s="71"/>
      <c r="G339" s="70"/>
      <c r="H339" s="71"/>
      <c r="I339" s="73"/>
      <c r="J339" s="74"/>
      <c r="K339" s="74"/>
      <c r="L339" s="74"/>
    </row>
    <row r="340" spans="1:12" x14ac:dyDescent="0.3">
      <c r="A340" s="27"/>
      <c r="B340" s="27"/>
      <c r="C340" s="27"/>
      <c r="D340" s="130">
        <f t="shared" si="7"/>
        <v>0</v>
      </c>
      <c r="E340" s="70"/>
      <c r="F340" s="71"/>
      <c r="G340" s="70"/>
      <c r="H340" s="71"/>
      <c r="I340" s="73"/>
      <c r="J340" s="74"/>
      <c r="K340" s="74"/>
      <c r="L340" s="74"/>
    </row>
    <row r="341" spans="1:12" x14ac:dyDescent="0.3">
      <c r="A341" s="27"/>
      <c r="B341" s="27"/>
      <c r="C341" s="27"/>
      <c r="D341" s="130">
        <f t="shared" si="7"/>
        <v>0</v>
      </c>
      <c r="E341" s="70"/>
      <c r="F341" s="71"/>
      <c r="G341" s="70"/>
      <c r="H341" s="71"/>
      <c r="I341" s="73"/>
      <c r="J341" s="74"/>
      <c r="K341" s="74"/>
      <c r="L341" s="74"/>
    </row>
    <row r="342" spans="1:12" x14ac:dyDescent="0.3">
      <c r="A342" s="27"/>
      <c r="B342" s="27"/>
      <c r="C342" s="27"/>
      <c r="D342" s="130">
        <f t="shared" si="7"/>
        <v>0</v>
      </c>
      <c r="E342" s="70"/>
      <c r="F342" s="71"/>
      <c r="G342" s="70"/>
      <c r="H342" s="71"/>
      <c r="I342" s="73"/>
      <c r="J342" s="74"/>
      <c r="K342" s="74"/>
      <c r="L342" s="74"/>
    </row>
    <row r="343" spans="1:12" x14ac:dyDescent="0.3">
      <c r="A343" s="27"/>
      <c r="B343" s="27"/>
      <c r="C343" s="27"/>
      <c r="D343" s="130">
        <f t="shared" si="7"/>
        <v>0</v>
      </c>
      <c r="E343" s="70"/>
      <c r="F343" s="71"/>
      <c r="G343" s="70"/>
      <c r="H343" s="71"/>
      <c r="I343" s="73"/>
      <c r="J343" s="74"/>
      <c r="K343" s="74"/>
      <c r="L343" s="74"/>
    </row>
    <row r="344" spans="1:12" x14ac:dyDescent="0.3">
      <c r="A344" s="27"/>
      <c r="B344" s="27"/>
      <c r="C344" s="27"/>
      <c r="D344" s="130">
        <f t="shared" si="7"/>
        <v>0</v>
      </c>
      <c r="E344" s="70"/>
      <c r="F344" s="71"/>
      <c r="G344" s="70"/>
      <c r="H344" s="71"/>
      <c r="I344" s="73"/>
      <c r="J344" s="74"/>
      <c r="K344" s="74"/>
      <c r="L344" s="74"/>
    </row>
    <row r="345" spans="1:12" x14ac:dyDescent="0.3">
      <c r="A345" s="27"/>
      <c r="B345" s="27"/>
      <c r="C345" s="27"/>
      <c r="D345" s="130">
        <f t="shared" si="7"/>
        <v>0</v>
      </c>
      <c r="E345" s="70"/>
      <c r="F345" s="71"/>
      <c r="G345" s="70"/>
      <c r="H345" s="71"/>
      <c r="I345" s="73"/>
      <c r="J345" s="74"/>
      <c r="K345" s="74"/>
      <c r="L345" s="74"/>
    </row>
    <row r="346" spans="1:12" x14ac:dyDescent="0.3">
      <c r="A346" s="27"/>
      <c r="B346" s="27"/>
      <c r="C346" s="27"/>
      <c r="D346" s="130">
        <f t="shared" si="7"/>
        <v>0</v>
      </c>
      <c r="E346" s="70"/>
      <c r="F346" s="71"/>
      <c r="G346" s="70"/>
      <c r="H346" s="71"/>
      <c r="I346" s="73"/>
      <c r="J346" s="74"/>
      <c r="K346" s="74"/>
      <c r="L346" s="74"/>
    </row>
    <row r="347" spans="1:12" x14ac:dyDescent="0.3">
      <c r="A347" s="27"/>
      <c r="B347" s="27"/>
      <c r="C347" s="27"/>
      <c r="D347" s="130">
        <f t="shared" si="7"/>
        <v>0</v>
      </c>
      <c r="E347" s="70"/>
      <c r="F347" s="71"/>
      <c r="G347" s="70"/>
      <c r="H347" s="71"/>
      <c r="I347" s="73"/>
      <c r="J347" s="74"/>
      <c r="K347" s="74"/>
      <c r="L347" s="74"/>
    </row>
    <row r="348" spans="1:12" x14ac:dyDescent="0.3">
      <c r="A348" s="27"/>
      <c r="B348" s="27"/>
      <c r="C348" s="27"/>
      <c r="D348" s="130">
        <f t="shared" si="7"/>
        <v>0</v>
      </c>
      <c r="E348" s="70"/>
      <c r="F348" s="71"/>
      <c r="G348" s="70"/>
      <c r="H348" s="71"/>
      <c r="I348" s="73"/>
      <c r="J348" s="74"/>
      <c r="K348" s="74"/>
      <c r="L348" s="74"/>
    </row>
    <row r="349" spans="1:12" x14ac:dyDescent="0.3">
      <c r="A349" s="27"/>
      <c r="B349" s="27"/>
      <c r="C349" s="27"/>
      <c r="D349" s="130">
        <f t="shared" si="7"/>
        <v>0</v>
      </c>
      <c r="E349" s="70"/>
      <c r="F349" s="71"/>
      <c r="G349" s="70"/>
      <c r="H349" s="71"/>
      <c r="I349" s="73"/>
      <c r="J349" s="74"/>
      <c r="K349" s="74"/>
      <c r="L349" s="74"/>
    </row>
    <row r="350" spans="1:12" x14ac:dyDescent="0.3">
      <c r="A350" s="27"/>
      <c r="B350" s="27"/>
      <c r="C350" s="27"/>
      <c r="D350" s="130">
        <f t="shared" si="7"/>
        <v>0</v>
      </c>
      <c r="E350" s="70"/>
      <c r="F350" s="71"/>
      <c r="G350" s="70"/>
      <c r="H350" s="71"/>
      <c r="I350" s="73"/>
      <c r="J350" s="74"/>
      <c r="K350" s="74"/>
      <c r="L350" s="74"/>
    </row>
    <row r="351" spans="1:12" x14ac:dyDescent="0.3">
      <c r="A351" s="27"/>
      <c r="B351" s="27"/>
      <c r="C351" s="27"/>
      <c r="D351" s="130">
        <f t="shared" si="7"/>
        <v>0</v>
      </c>
      <c r="E351" s="70"/>
      <c r="F351" s="71"/>
      <c r="G351" s="70"/>
      <c r="H351" s="71"/>
      <c r="I351" s="73"/>
      <c r="J351" s="74"/>
      <c r="K351" s="74"/>
      <c r="L351" s="74"/>
    </row>
    <row r="352" spans="1:12" x14ac:dyDescent="0.3">
      <c r="A352" s="27"/>
      <c r="B352" s="27"/>
      <c r="C352" s="27"/>
      <c r="D352" s="130">
        <f t="shared" si="7"/>
        <v>0</v>
      </c>
      <c r="E352" s="70"/>
      <c r="F352" s="71"/>
      <c r="G352" s="70"/>
      <c r="H352" s="71"/>
      <c r="I352" s="73"/>
      <c r="J352" s="74"/>
      <c r="K352" s="74"/>
      <c r="L352" s="74"/>
    </row>
    <row r="353" spans="1:12" x14ac:dyDescent="0.3">
      <c r="A353" s="27"/>
      <c r="B353" s="27"/>
      <c r="C353" s="27"/>
      <c r="D353" s="130">
        <f t="shared" si="7"/>
        <v>0</v>
      </c>
      <c r="E353" s="70"/>
      <c r="F353" s="71"/>
      <c r="G353" s="70"/>
      <c r="H353" s="71"/>
      <c r="I353" s="73"/>
      <c r="J353" s="74"/>
      <c r="K353" s="74"/>
      <c r="L353" s="74"/>
    </row>
    <row r="354" spans="1:12" x14ac:dyDescent="0.3">
      <c r="A354" s="27"/>
      <c r="B354" s="27"/>
      <c r="C354" s="27"/>
      <c r="D354" s="130">
        <f t="shared" si="7"/>
        <v>0</v>
      </c>
      <c r="E354" s="70"/>
      <c r="F354" s="71"/>
      <c r="G354" s="70"/>
      <c r="H354" s="71"/>
      <c r="I354" s="73"/>
      <c r="J354" s="74"/>
      <c r="K354" s="74"/>
      <c r="L354" s="74"/>
    </row>
    <row r="355" spans="1:12" x14ac:dyDescent="0.3">
      <c r="A355" s="27"/>
      <c r="B355" s="27"/>
      <c r="C355" s="27"/>
      <c r="D355" s="130">
        <f t="shared" si="7"/>
        <v>0</v>
      </c>
      <c r="E355" s="70"/>
      <c r="F355" s="71"/>
      <c r="G355" s="70"/>
      <c r="H355" s="71"/>
      <c r="I355" s="73"/>
      <c r="J355" s="74"/>
      <c r="K355" s="74"/>
      <c r="L355" s="74"/>
    </row>
    <row r="356" spans="1:12" x14ac:dyDescent="0.3">
      <c r="A356" s="27"/>
      <c r="B356" s="27"/>
      <c r="C356" s="27"/>
      <c r="D356" s="130">
        <f t="shared" si="7"/>
        <v>0</v>
      </c>
      <c r="E356" s="70"/>
      <c r="F356" s="71"/>
      <c r="G356" s="70"/>
      <c r="H356" s="71"/>
      <c r="I356" s="73"/>
      <c r="J356" s="74"/>
      <c r="K356" s="74"/>
      <c r="L356" s="74"/>
    </row>
    <row r="357" spans="1:12" x14ac:dyDescent="0.3">
      <c r="A357" s="27"/>
      <c r="B357" s="27"/>
      <c r="C357" s="27"/>
      <c r="D357" s="130">
        <f t="shared" si="7"/>
        <v>0</v>
      </c>
      <c r="E357" s="70"/>
      <c r="F357" s="71"/>
      <c r="G357" s="70"/>
      <c r="H357" s="71"/>
      <c r="I357" s="73"/>
      <c r="J357" s="74"/>
      <c r="K357" s="74"/>
      <c r="L357" s="74"/>
    </row>
    <row r="358" spans="1:12" x14ac:dyDescent="0.3">
      <c r="A358" s="27"/>
      <c r="B358" s="27"/>
      <c r="C358" s="27"/>
      <c r="D358" s="130">
        <f t="shared" si="7"/>
        <v>0</v>
      </c>
      <c r="E358" s="70"/>
      <c r="F358" s="71"/>
      <c r="G358" s="70"/>
      <c r="H358" s="71"/>
      <c r="I358" s="73"/>
      <c r="J358" s="74"/>
      <c r="K358" s="74"/>
      <c r="L358" s="74"/>
    </row>
    <row r="359" spans="1:12" x14ac:dyDescent="0.3">
      <c r="A359" s="27"/>
      <c r="B359" s="27"/>
      <c r="C359" s="27"/>
      <c r="D359" s="130">
        <f t="shared" si="7"/>
        <v>0</v>
      </c>
      <c r="E359" s="70"/>
      <c r="F359" s="71"/>
      <c r="G359" s="70"/>
      <c r="H359" s="71"/>
      <c r="I359" s="73"/>
      <c r="J359" s="74"/>
      <c r="K359" s="74"/>
      <c r="L359" s="74"/>
    </row>
    <row r="360" spans="1:12" x14ac:dyDescent="0.3">
      <c r="A360" s="27"/>
      <c r="B360" s="27"/>
      <c r="C360" s="27"/>
      <c r="D360" s="130">
        <f t="shared" si="7"/>
        <v>0</v>
      </c>
      <c r="E360" s="70"/>
      <c r="F360" s="71"/>
      <c r="G360" s="70"/>
      <c r="H360" s="71"/>
      <c r="I360" s="73"/>
      <c r="J360" s="74"/>
      <c r="K360" s="74"/>
      <c r="L360" s="74"/>
    </row>
    <row r="361" spans="1:12" x14ac:dyDescent="0.3">
      <c r="A361" s="27"/>
      <c r="B361" s="27"/>
      <c r="C361" s="27"/>
      <c r="D361" s="130">
        <f t="shared" si="7"/>
        <v>0</v>
      </c>
      <c r="E361" s="70"/>
      <c r="F361" s="71"/>
      <c r="G361" s="70"/>
      <c r="H361" s="71"/>
      <c r="I361" s="73"/>
      <c r="J361" s="74"/>
      <c r="K361" s="74"/>
      <c r="L361" s="74"/>
    </row>
    <row r="362" spans="1:12" x14ac:dyDescent="0.3">
      <c r="A362" s="27"/>
      <c r="B362" s="27"/>
      <c r="C362" s="27"/>
      <c r="D362" s="130">
        <f t="shared" si="7"/>
        <v>0</v>
      </c>
      <c r="E362" s="70"/>
      <c r="F362" s="71"/>
      <c r="G362" s="70"/>
      <c r="H362" s="71"/>
      <c r="I362" s="73"/>
      <c r="J362" s="74"/>
      <c r="K362" s="74"/>
      <c r="L362" s="74"/>
    </row>
    <row r="363" spans="1:12" x14ac:dyDescent="0.3">
      <c r="A363" s="27"/>
      <c r="B363" s="27"/>
      <c r="C363" s="27"/>
      <c r="D363" s="130">
        <f t="shared" si="7"/>
        <v>0</v>
      </c>
      <c r="E363" s="70"/>
      <c r="F363" s="71"/>
      <c r="G363" s="70"/>
      <c r="H363" s="71"/>
      <c r="I363" s="73"/>
      <c r="J363" s="74"/>
      <c r="K363" s="74"/>
      <c r="L363" s="74"/>
    </row>
    <row r="364" spans="1:12" x14ac:dyDescent="0.3">
      <c r="A364" s="27"/>
      <c r="B364" s="27"/>
      <c r="C364" s="27"/>
      <c r="D364" s="130">
        <f t="shared" si="7"/>
        <v>0</v>
      </c>
      <c r="E364" s="70"/>
      <c r="F364" s="71"/>
      <c r="G364" s="70"/>
      <c r="H364" s="71"/>
      <c r="I364" s="73"/>
      <c r="J364" s="74"/>
      <c r="K364" s="74"/>
      <c r="L364" s="74"/>
    </row>
    <row r="365" spans="1:12" x14ac:dyDescent="0.3">
      <c r="A365" s="27"/>
      <c r="B365" s="27"/>
      <c r="C365" s="27"/>
      <c r="D365" s="130">
        <f t="shared" si="7"/>
        <v>0</v>
      </c>
      <c r="E365" s="70"/>
      <c r="F365" s="71"/>
      <c r="G365" s="70"/>
      <c r="H365" s="71"/>
      <c r="I365" s="73"/>
      <c r="J365" s="74"/>
      <c r="K365" s="74"/>
      <c r="L365" s="74"/>
    </row>
    <row r="366" spans="1:12" x14ac:dyDescent="0.3">
      <c r="A366" s="27"/>
      <c r="B366" s="27"/>
      <c r="C366" s="27"/>
      <c r="D366" s="130">
        <f t="shared" si="7"/>
        <v>0</v>
      </c>
      <c r="E366" s="70"/>
      <c r="F366" s="71"/>
      <c r="G366" s="70"/>
      <c r="H366" s="71"/>
      <c r="I366" s="73"/>
      <c r="J366" s="74"/>
      <c r="K366" s="74"/>
      <c r="L366" s="74"/>
    </row>
    <row r="367" spans="1:12" x14ac:dyDescent="0.3">
      <c r="A367" s="27"/>
      <c r="B367" s="27"/>
      <c r="C367" s="27"/>
      <c r="D367" s="130">
        <f t="shared" si="7"/>
        <v>0</v>
      </c>
      <c r="E367" s="70"/>
      <c r="F367" s="71"/>
      <c r="G367" s="70"/>
      <c r="H367" s="71"/>
      <c r="I367" s="73"/>
      <c r="J367" s="74"/>
      <c r="K367" s="74"/>
      <c r="L367" s="74"/>
    </row>
    <row r="368" spans="1:12" x14ac:dyDescent="0.3">
      <c r="A368" s="27"/>
      <c r="B368" s="27"/>
      <c r="C368" s="27"/>
      <c r="D368" s="130">
        <f t="shared" si="7"/>
        <v>0</v>
      </c>
      <c r="E368" s="70"/>
      <c r="F368" s="71"/>
      <c r="G368" s="70"/>
      <c r="H368" s="71"/>
      <c r="I368" s="73"/>
      <c r="J368" s="74"/>
      <c r="K368" s="74"/>
      <c r="L368" s="74"/>
    </row>
    <row r="369" spans="1:12" x14ac:dyDescent="0.3">
      <c r="A369" s="27"/>
      <c r="B369" s="27"/>
      <c r="C369" s="27"/>
      <c r="D369" s="130">
        <f t="shared" si="7"/>
        <v>0</v>
      </c>
      <c r="E369" s="70"/>
      <c r="F369" s="71"/>
      <c r="G369" s="70"/>
      <c r="H369" s="71"/>
      <c r="I369" s="73"/>
      <c r="J369" s="74"/>
      <c r="K369" s="74"/>
      <c r="L369" s="74"/>
    </row>
    <row r="370" spans="1:12" x14ac:dyDescent="0.3">
      <c r="A370" s="27"/>
      <c r="B370" s="27"/>
      <c r="C370" s="27"/>
      <c r="D370" s="130">
        <f t="shared" si="7"/>
        <v>0</v>
      </c>
      <c r="E370" s="70"/>
      <c r="F370" s="71"/>
      <c r="G370" s="70"/>
      <c r="H370" s="71"/>
      <c r="I370" s="73"/>
      <c r="J370" s="74"/>
      <c r="K370" s="74"/>
      <c r="L370" s="74"/>
    </row>
    <row r="371" spans="1:12" x14ac:dyDescent="0.3">
      <c r="A371" s="27"/>
      <c r="B371" s="27"/>
      <c r="C371" s="27"/>
      <c r="D371" s="130">
        <f t="shared" si="7"/>
        <v>0</v>
      </c>
      <c r="E371" s="70"/>
      <c r="F371" s="71"/>
      <c r="G371" s="70"/>
      <c r="H371" s="71"/>
      <c r="I371" s="73"/>
      <c r="J371" s="74"/>
      <c r="K371" s="74"/>
      <c r="L371" s="74"/>
    </row>
    <row r="372" spans="1:12" x14ac:dyDescent="0.3">
      <c r="A372" s="27"/>
      <c r="B372" s="27"/>
      <c r="C372" s="27"/>
      <c r="D372" s="130">
        <f t="shared" si="7"/>
        <v>0</v>
      </c>
      <c r="E372" s="70"/>
      <c r="F372" s="71"/>
      <c r="G372" s="70"/>
      <c r="H372" s="71"/>
      <c r="I372" s="73"/>
      <c r="J372" s="74"/>
      <c r="K372" s="74"/>
      <c r="L372" s="74"/>
    </row>
    <row r="373" spans="1:12" x14ac:dyDescent="0.3">
      <c r="A373" s="27"/>
      <c r="B373" s="27"/>
      <c r="C373" s="27"/>
      <c r="D373" s="130">
        <f t="shared" si="7"/>
        <v>0</v>
      </c>
      <c r="E373" s="70"/>
      <c r="F373" s="71"/>
      <c r="G373" s="70"/>
      <c r="H373" s="71"/>
      <c r="I373" s="73"/>
      <c r="J373" s="74"/>
      <c r="K373" s="74"/>
      <c r="L373" s="74"/>
    </row>
    <row r="374" spans="1:12" x14ac:dyDescent="0.3">
      <c r="A374" s="27"/>
      <c r="B374" s="27"/>
      <c r="C374" s="27"/>
      <c r="D374" s="130">
        <f t="shared" si="7"/>
        <v>0</v>
      </c>
      <c r="E374" s="70"/>
      <c r="F374" s="71"/>
      <c r="G374" s="70"/>
      <c r="H374" s="71"/>
      <c r="I374" s="73"/>
      <c r="J374" s="74"/>
      <c r="K374" s="74"/>
      <c r="L374" s="74"/>
    </row>
    <row r="375" spans="1:12" x14ac:dyDescent="0.3">
      <c r="A375" s="27"/>
      <c r="B375" s="27"/>
      <c r="C375" s="27"/>
      <c r="D375" s="130">
        <f t="shared" si="7"/>
        <v>0</v>
      </c>
      <c r="E375" s="70"/>
      <c r="F375" s="71"/>
      <c r="G375" s="70"/>
      <c r="H375" s="71"/>
      <c r="I375" s="73"/>
      <c r="J375" s="74"/>
      <c r="K375" s="74"/>
      <c r="L375" s="74"/>
    </row>
    <row r="376" spans="1:12" x14ac:dyDescent="0.3">
      <c r="A376" s="27"/>
      <c r="B376" s="27"/>
      <c r="C376" s="27"/>
      <c r="D376" s="130">
        <f t="shared" si="7"/>
        <v>0</v>
      </c>
      <c r="E376" s="70"/>
      <c r="F376" s="71"/>
      <c r="G376" s="70"/>
      <c r="H376" s="71"/>
      <c r="I376" s="73"/>
      <c r="J376" s="74"/>
      <c r="K376" s="74"/>
      <c r="L376" s="74"/>
    </row>
    <row r="377" spans="1:12" x14ac:dyDescent="0.3">
      <c r="A377" s="27"/>
      <c r="B377" s="27"/>
      <c r="C377" s="27"/>
      <c r="D377" s="130">
        <f t="shared" si="7"/>
        <v>0</v>
      </c>
      <c r="E377" s="70"/>
      <c r="F377" s="71"/>
      <c r="G377" s="70"/>
      <c r="H377" s="71"/>
      <c r="I377" s="73"/>
      <c r="J377" s="74"/>
      <c r="K377" s="74"/>
      <c r="L377" s="74"/>
    </row>
    <row r="378" spans="1:12" x14ac:dyDescent="0.3">
      <c r="A378" s="27"/>
      <c r="B378" s="27"/>
      <c r="C378" s="27"/>
      <c r="D378" s="130">
        <f t="shared" si="7"/>
        <v>0</v>
      </c>
      <c r="E378" s="70"/>
      <c r="F378" s="71"/>
      <c r="G378" s="70"/>
      <c r="H378" s="71"/>
      <c r="I378" s="73"/>
      <c r="J378" s="74"/>
      <c r="K378" s="74"/>
      <c r="L378" s="74"/>
    </row>
    <row r="379" spans="1:12" x14ac:dyDescent="0.3">
      <c r="A379" s="27"/>
      <c r="B379" s="27"/>
      <c r="C379" s="27"/>
      <c r="D379" s="130">
        <f t="shared" si="7"/>
        <v>0</v>
      </c>
      <c r="E379" s="70"/>
      <c r="F379" s="71"/>
      <c r="G379" s="70"/>
      <c r="H379" s="71"/>
      <c r="I379" s="73"/>
      <c r="J379" s="74"/>
      <c r="K379" s="74"/>
      <c r="L379" s="74"/>
    </row>
    <row r="380" spans="1:12" x14ac:dyDescent="0.3">
      <c r="A380" s="27"/>
      <c r="B380" s="27"/>
      <c r="C380" s="27"/>
      <c r="D380" s="130">
        <f t="shared" si="7"/>
        <v>0</v>
      </c>
      <c r="E380" s="70"/>
      <c r="F380" s="71"/>
      <c r="G380" s="70"/>
      <c r="H380" s="71"/>
      <c r="I380" s="73"/>
      <c r="J380" s="74"/>
      <c r="K380" s="74"/>
      <c r="L380" s="74"/>
    </row>
    <row r="381" spans="1:12" x14ac:dyDescent="0.3">
      <c r="A381" s="27"/>
      <c r="B381" s="27"/>
      <c r="C381" s="27"/>
      <c r="D381" s="130">
        <f t="shared" si="7"/>
        <v>0</v>
      </c>
      <c r="E381" s="70"/>
      <c r="F381" s="71"/>
      <c r="G381" s="70"/>
      <c r="H381" s="71"/>
      <c r="I381" s="73"/>
      <c r="J381" s="74"/>
      <c r="K381" s="74"/>
      <c r="L381" s="74"/>
    </row>
    <row r="382" spans="1:12" x14ac:dyDescent="0.3">
      <c r="A382" s="27"/>
      <c r="B382" s="27"/>
      <c r="C382" s="27"/>
      <c r="D382" s="130">
        <f t="shared" si="7"/>
        <v>0</v>
      </c>
      <c r="E382" s="70"/>
      <c r="F382" s="71"/>
      <c r="G382" s="70"/>
      <c r="H382" s="71"/>
      <c r="I382" s="73"/>
      <c r="J382" s="74"/>
      <c r="K382" s="74"/>
      <c r="L382" s="74"/>
    </row>
    <row r="383" spans="1:12" x14ac:dyDescent="0.3">
      <c r="A383" s="27"/>
      <c r="B383" s="27"/>
      <c r="C383" s="27"/>
      <c r="D383" s="130">
        <f t="shared" si="7"/>
        <v>0</v>
      </c>
      <c r="E383" s="70"/>
      <c r="F383" s="71"/>
      <c r="G383" s="70"/>
      <c r="H383" s="71"/>
      <c r="I383" s="73"/>
      <c r="J383" s="74"/>
      <c r="K383" s="74"/>
      <c r="L383" s="74"/>
    </row>
    <row r="384" spans="1:12" x14ac:dyDescent="0.3">
      <c r="A384" s="27"/>
      <c r="B384" s="27"/>
      <c r="C384" s="27"/>
      <c r="D384" s="130">
        <f t="shared" si="7"/>
        <v>0</v>
      </c>
      <c r="E384" s="70"/>
      <c r="F384" s="71"/>
      <c r="G384" s="70"/>
      <c r="H384" s="71"/>
      <c r="I384" s="73"/>
      <c r="J384" s="74"/>
      <c r="K384" s="74"/>
      <c r="L384" s="74"/>
    </row>
    <row r="385" spans="1:12" x14ac:dyDescent="0.3">
      <c r="A385" s="27"/>
      <c r="B385" s="27"/>
      <c r="C385" s="27"/>
      <c r="D385" s="130">
        <f t="shared" si="7"/>
        <v>0</v>
      </c>
      <c r="E385" s="70"/>
      <c r="F385" s="71"/>
      <c r="G385" s="70"/>
      <c r="H385" s="71"/>
      <c r="I385" s="73"/>
      <c r="J385" s="74"/>
      <c r="K385" s="74"/>
      <c r="L385" s="74"/>
    </row>
    <row r="386" spans="1:12" x14ac:dyDescent="0.3">
      <c r="A386" s="27"/>
      <c r="B386" s="27"/>
      <c r="C386" s="27"/>
      <c r="D386" s="130">
        <f t="shared" si="7"/>
        <v>0</v>
      </c>
      <c r="E386" s="70"/>
      <c r="F386" s="71"/>
      <c r="G386" s="70"/>
      <c r="H386" s="71"/>
      <c r="I386" s="73"/>
      <c r="J386" s="74"/>
      <c r="K386" s="74"/>
      <c r="L386" s="74"/>
    </row>
    <row r="387" spans="1:12" x14ac:dyDescent="0.3">
      <c r="A387" s="27"/>
      <c r="B387" s="27"/>
      <c r="C387" s="27"/>
      <c r="D387" s="130">
        <f t="shared" si="7"/>
        <v>0</v>
      </c>
      <c r="E387" s="70"/>
      <c r="F387" s="71"/>
      <c r="G387" s="70"/>
      <c r="H387" s="71"/>
      <c r="I387" s="73"/>
      <c r="J387" s="74"/>
      <c r="K387" s="74"/>
      <c r="L387" s="74"/>
    </row>
    <row r="388" spans="1:12" x14ac:dyDescent="0.3">
      <c r="A388" s="27"/>
      <c r="B388" s="27"/>
      <c r="C388" s="27"/>
      <c r="D388" s="130">
        <f t="shared" si="7"/>
        <v>0</v>
      </c>
      <c r="E388" s="70"/>
      <c r="F388" s="71"/>
      <c r="G388" s="70"/>
      <c r="H388" s="71"/>
      <c r="I388" s="73"/>
      <c r="J388" s="74"/>
      <c r="K388" s="74"/>
      <c r="L388" s="74"/>
    </row>
    <row r="389" spans="1:12" x14ac:dyDescent="0.3">
      <c r="A389" s="27"/>
      <c r="B389" s="27"/>
      <c r="C389" s="27"/>
      <c r="D389" s="130">
        <f t="shared" si="7"/>
        <v>0</v>
      </c>
      <c r="E389" s="70"/>
      <c r="F389" s="71"/>
      <c r="G389" s="70"/>
      <c r="H389" s="71"/>
      <c r="I389" s="73"/>
      <c r="J389" s="74"/>
      <c r="K389" s="74"/>
      <c r="L389" s="74"/>
    </row>
    <row r="390" spans="1:12" x14ac:dyDescent="0.3">
      <c r="A390" s="27"/>
      <c r="B390" s="27"/>
      <c r="C390" s="27"/>
      <c r="D390" s="130">
        <f t="shared" si="7"/>
        <v>0</v>
      </c>
      <c r="E390" s="70"/>
      <c r="F390" s="71"/>
      <c r="G390" s="70"/>
      <c r="H390" s="71"/>
      <c r="I390" s="73"/>
      <c r="J390" s="74"/>
      <c r="K390" s="74"/>
      <c r="L390" s="74"/>
    </row>
    <row r="391" spans="1:12" x14ac:dyDescent="0.3">
      <c r="A391" s="27"/>
      <c r="B391" s="27"/>
      <c r="C391" s="27"/>
      <c r="D391" s="130">
        <f t="shared" si="7"/>
        <v>0</v>
      </c>
      <c r="E391" s="70"/>
      <c r="F391" s="71"/>
      <c r="G391" s="70"/>
      <c r="H391" s="71"/>
      <c r="I391" s="73"/>
      <c r="J391" s="74"/>
      <c r="K391" s="74"/>
      <c r="L391" s="74"/>
    </row>
    <row r="392" spans="1:12" x14ac:dyDescent="0.3">
      <c r="A392" s="27"/>
      <c r="B392" s="27"/>
      <c r="C392" s="27"/>
      <c r="D392" s="130">
        <f t="shared" ref="D392:D455" si="8">B392*$F$2+C392*$F$3</f>
        <v>0</v>
      </c>
      <c r="E392" s="70"/>
      <c r="F392" s="71"/>
      <c r="G392" s="70"/>
      <c r="H392" s="71"/>
      <c r="I392" s="73"/>
      <c r="J392" s="74"/>
      <c r="K392" s="74"/>
      <c r="L392" s="74"/>
    </row>
    <row r="393" spans="1:12" x14ac:dyDescent="0.3">
      <c r="A393" s="27"/>
      <c r="B393" s="27"/>
      <c r="C393" s="27"/>
      <c r="D393" s="130">
        <f t="shared" si="8"/>
        <v>0</v>
      </c>
      <c r="E393" s="70"/>
      <c r="F393" s="71"/>
      <c r="G393" s="70"/>
      <c r="H393" s="71"/>
      <c r="I393" s="73"/>
      <c r="J393" s="74"/>
      <c r="K393" s="74"/>
      <c r="L393" s="74"/>
    </row>
    <row r="394" spans="1:12" x14ac:dyDescent="0.3">
      <c r="A394" s="27"/>
      <c r="B394" s="27"/>
      <c r="C394" s="27"/>
      <c r="D394" s="130">
        <f t="shared" si="8"/>
        <v>0</v>
      </c>
      <c r="E394" s="70"/>
      <c r="F394" s="71"/>
      <c r="G394" s="70"/>
      <c r="H394" s="71"/>
      <c r="I394" s="73"/>
      <c r="J394" s="74"/>
      <c r="K394" s="74"/>
      <c r="L394" s="74"/>
    </row>
    <row r="395" spans="1:12" x14ac:dyDescent="0.3">
      <c r="A395" s="27"/>
      <c r="B395" s="27"/>
      <c r="C395" s="27"/>
      <c r="D395" s="130">
        <f t="shared" si="8"/>
        <v>0</v>
      </c>
      <c r="E395" s="70"/>
      <c r="F395" s="71"/>
      <c r="G395" s="70"/>
      <c r="H395" s="71"/>
      <c r="I395" s="73"/>
      <c r="J395" s="74"/>
      <c r="K395" s="74"/>
      <c r="L395" s="74"/>
    </row>
    <row r="396" spans="1:12" x14ac:dyDescent="0.3">
      <c r="A396" s="27"/>
      <c r="B396" s="27"/>
      <c r="C396" s="27"/>
      <c r="D396" s="130">
        <f t="shared" si="8"/>
        <v>0</v>
      </c>
      <c r="E396" s="70"/>
      <c r="F396" s="71"/>
      <c r="G396" s="70"/>
      <c r="H396" s="71"/>
      <c r="I396" s="73"/>
      <c r="J396" s="74"/>
      <c r="K396" s="74"/>
      <c r="L396" s="74"/>
    </row>
    <row r="397" spans="1:12" x14ac:dyDescent="0.3">
      <c r="A397" s="27"/>
      <c r="B397" s="27"/>
      <c r="C397" s="27"/>
      <c r="D397" s="130">
        <f t="shared" si="8"/>
        <v>0</v>
      </c>
      <c r="E397" s="70"/>
      <c r="F397" s="71"/>
      <c r="G397" s="70"/>
      <c r="H397" s="71"/>
      <c r="I397" s="73"/>
      <c r="J397" s="74"/>
      <c r="K397" s="74"/>
      <c r="L397" s="74"/>
    </row>
    <row r="398" spans="1:12" x14ac:dyDescent="0.3">
      <c r="A398" s="27"/>
      <c r="B398" s="27"/>
      <c r="C398" s="27"/>
      <c r="D398" s="130">
        <f t="shared" si="8"/>
        <v>0</v>
      </c>
      <c r="E398" s="70"/>
      <c r="F398" s="71"/>
      <c r="G398" s="70"/>
      <c r="H398" s="71"/>
      <c r="I398" s="73"/>
      <c r="J398" s="74"/>
      <c r="K398" s="74"/>
      <c r="L398" s="74"/>
    </row>
    <row r="399" spans="1:12" x14ac:dyDescent="0.3">
      <c r="A399" s="27"/>
      <c r="B399" s="27"/>
      <c r="C399" s="27"/>
      <c r="D399" s="130">
        <f t="shared" si="8"/>
        <v>0</v>
      </c>
      <c r="E399" s="70"/>
      <c r="F399" s="71"/>
      <c r="G399" s="70"/>
      <c r="H399" s="71"/>
      <c r="I399" s="73"/>
      <c r="J399" s="74"/>
      <c r="K399" s="74"/>
      <c r="L399" s="74"/>
    </row>
    <row r="400" spans="1:12" x14ac:dyDescent="0.3">
      <c r="A400" s="27"/>
      <c r="B400" s="27"/>
      <c r="C400" s="27"/>
      <c r="D400" s="130">
        <f t="shared" si="8"/>
        <v>0</v>
      </c>
      <c r="E400" s="70"/>
      <c r="F400" s="71"/>
      <c r="G400" s="70"/>
      <c r="H400" s="71"/>
      <c r="I400" s="73"/>
      <c r="J400" s="74"/>
      <c r="K400" s="74"/>
      <c r="L400" s="74"/>
    </row>
    <row r="401" spans="1:12" x14ac:dyDescent="0.3">
      <c r="A401" s="27"/>
      <c r="B401" s="27"/>
      <c r="C401" s="27"/>
      <c r="D401" s="130">
        <f t="shared" si="8"/>
        <v>0</v>
      </c>
      <c r="E401" s="70"/>
      <c r="F401" s="71"/>
      <c r="G401" s="70"/>
      <c r="H401" s="71"/>
      <c r="I401" s="73"/>
      <c r="J401" s="74"/>
      <c r="K401" s="74"/>
      <c r="L401" s="74"/>
    </row>
    <row r="402" spans="1:12" x14ac:dyDescent="0.3">
      <c r="A402" s="27"/>
      <c r="B402" s="27"/>
      <c r="C402" s="27"/>
      <c r="D402" s="130">
        <f t="shared" si="8"/>
        <v>0</v>
      </c>
      <c r="E402" s="70"/>
      <c r="F402" s="71"/>
      <c r="G402" s="70"/>
      <c r="H402" s="71"/>
      <c r="I402" s="73"/>
      <c r="J402" s="74"/>
      <c r="K402" s="74"/>
      <c r="L402" s="74"/>
    </row>
    <row r="403" spans="1:12" x14ac:dyDescent="0.3">
      <c r="A403" s="27"/>
      <c r="B403" s="27"/>
      <c r="C403" s="27"/>
      <c r="D403" s="130">
        <f t="shared" si="8"/>
        <v>0</v>
      </c>
      <c r="E403" s="70"/>
      <c r="F403" s="71"/>
      <c r="G403" s="70"/>
      <c r="H403" s="71"/>
      <c r="I403" s="73"/>
      <c r="J403" s="74"/>
      <c r="K403" s="74"/>
      <c r="L403" s="74"/>
    </row>
    <row r="404" spans="1:12" x14ac:dyDescent="0.3">
      <c r="A404" s="27"/>
      <c r="B404" s="27"/>
      <c r="C404" s="27"/>
      <c r="D404" s="130">
        <f t="shared" si="8"/>
        <v>0</v>
      </c>
      <c r="E404" s="70"/>
      <c r="F404" s="71"/>
      <c r="G404" s="70"/>
      <c r="H404" s="71"/>
      <c r="I404" s="73"/>
      <c r="J404" s="74"/>
      <c r="K404" s="74"/>
      <c r="L404" s="74"/>
    </row>
    <row r="405" spans="1:12" x14ac:dyDescent="0.3">
      <c r="A405" s="27"/>
      <c r="B405" s="27"/>
      <c r="C405" s="27"/>
      <c r="D405" s="130">
        <f t="shared" si="8"/>
        <v>0</v>
      </c>
      <c r="E405" s="70"/>
      <c r="F405" s="71"/>
      <c r="G405" s="70"/>
      <c r="H405" s="71"/>
      <c r="I405" s="73"/>
      <c r="J405" s="74"/>
      <c r="K405" s="74"/>
      <c r="L405" s="74"/>
    </row>
    <row r="406" spans="1:12" x14ac:dyDescent="0.3">
      <c r="A406" s="27"/>
      <c r="B406" s="27"/>
      <c r="C406" s="27"/>
      <c r="D406" s="130">
        <f t="shared" si="8"/>
        <v>0</v>
      </c>
      <c r="E406" s="70"/>
      <c r="F406" s="71"/>
      <c r="G406" s="70"/>
      <c r="H406" s="71"/>
      <c r="I406" s="73"/>
      <c r="J406" s="74"/>
      <c r="K406" s="74"/>
      <c r="L406" s="74"/>
    </row>
    <row r="407" spans="1:12" x14ac:dyDescent="0.3">
      <c r="A407" s="27"/>
      <c r="B407" s="27"/>
      <c r="C407" s="27"/>
      <c r="D407" s="130">
        <f t="shared" si="8"/>
        <v>0</v>
      </c>
      <c r="E407" s="70"/>
      <c r="F407" s="71"/>
      <c r="G407" s="70"/>
      <c r="H407" s="71"/>
      <c r="I407" s="73"/>
      <c r="J407" s="74"/>
      <c r="K407" s="74"/>
      <c r="L407" s="74"/>
    </row>
    <row r="408" spans="1:12" x14ac:dyDescent="0.3">
      <c r="A408" s="27"/>
      <c r="B408" s="27"/>
      <c r="C408" s="27"/>
      <c r="D408" s="130">
        <f t="shared" si="8"/>
        <v>0</v>
      </c>
      <c r="E408" s="70"/>
      <c r="F408" s="71"/>
      <c r="G408" s="70"/>
      <c r="H408" s="71"/>
      <c r="I408" s="73"/>
      <c r="J408" s="74"/>
      <c r="K408" s="74"/>
      <c r="L408" s="74"/>
    </row>
    <row r="409" spans="1:12" x14ac:dyDescent="0.3">
      <c r="A409" s="27"/>
      <c r="B409" s="27"/>
      <c r="C409" s="27"/>
      <c r="D409" s="130">
        <f t="shared" si="8"/>
        <v>0</v>
      </c>
      <c r="E409" s="70"/>
      <c r="F409" s="71"/>
      <c r="G409" s="70"/>
      <c r="H409" s="71"/>
      <c r="I409" s="73"/>
      <c r="J409" s="74"/>
      <c r="K409" s="74"/>
      <c r="L409" s="74"/>
    </row>
    <row r="410" spans="1:12" x14ac:dyDescent="0.3">
      <c r="A410" s="27"/>
      <c r="B410" s="27"/>
      <c r="C410" s="27"/>
      <c r="D410" s="130">
        <f t="shared" si="8"/>
        <v>0</v>
      </c>
      <c r="E410" s="70"/>
      <c r="F410" s="71"/>
      <c r="G410" s="70"/>
      <c r="H410" s="71"/>
      <c r="I410" s="73"/>
      <c r="J410" s="74"/>
      <c r="K410" s="74"/>
      <c r="L410" s="74"/>
    </row>
    <row r="411" spans="1:12" x14ac:dyDescent="0.3">
      <c r="A411" s="27"/>
      <c r="B411" s="27"/>
      <c r="C411" s="27"/>
      <c r="D411" s="130">
        <f t="shared" si="8"/>
        <v>0</v>
      </c>
      <c r="E411" s="70"/>
      <c r="F411" s="71"/>
      <c r="G411" s="70"/>
      <c r="H411" s="71"/>
      <c r="I411" s="73"/>
      <c r="J411" s="74"/>
      <c r="K411" s="74"/>
      <c r="L411" s="74"/>
    </row>
    <row r="412" spans="1:12" x14ac:dyDescent="0.3">
      <c r="A412" s="27"/>
      <c r="B412" s="27"/>
      <c r="C412" s="27"/>
      <c r="D412" s="130">
        <f t="shared" si="8"/>
        <v>0</v>
      </c>
      <c r="E412" s="70"/>
      <c r="F412" s="71"/>
      <c r="G412" s="70"/>
      <c r="H412" s="71"/>
      <c r="I412" s="73"/>
      <c r="J412" s="74"/>
      <c r="K412" s="74"/>
      <c r="L412" s="74"/>
    </row>
    <row r="413" spans="1:12" x14ac:dyDescent="0.3">
      <c r="A413" s="27"/>
      <c r="B413" s="27"/>
      <c r="C413" s="27"/>
      <c r="D413" s="130">
        <f t="shared" si="8"/>
        <v>0</v>
      </c>
      <c r="E413" s="70"/>
      <c r="F413" s="71"/>
      <c r="G413" s="70"/>
      <c r="H413" s="71"/>
      <c r="I413" s="73"/>
      <c r="J413" s="74"/>
      <c r="K413" s="74"/>
      <c r="L413" s="74"/>
    </row>
    <row r="414" spans="1:12" x14ac:dyDescent="0.3">
      <c r="A414" s="27"/>
      <c r="B414" s="27"/>
      <c r="C414" s="27"/>
      <c r="D414" s="130">
        <f t="shared" si="8"/>
        <v>0</v>
      </c>
      <c r="E414" s="70"/>
      <c r="F414" s="71"/>
      <c r="G414" s="70"/>
      <c r="H414" s="71"/>
      <c r="I414" s="73"/>
      <c r="J414" s="74"/>
      <c r="K414" s="74"/>
      <c r="L414" s="74"/>
    </row>
    <row r="415" spans="1:12" x14ac:dyDescent="0.3">
      <c r="A415" s="27"/>
      <c r="B415" s="27"/>
      <c r="C415" s="27"/>
      <c r="D415" s="130">
        <f t="shared" si="8"/>
        <v>0</v>
      </c>
      <c r="E415" s="70"/>
      <c r="F415" s="71"/>
      <c r="G415" s="70"/>
      <c r="H415" s="71"/>
      <c r="I415" s="73"/>
      <c r="J415" s="74"/>
      <c r="K415" s="74"/>
      <c r="L415" s="74"/>
    </row>
    <row r="416" spans="1:12" x14ac:dyDescent="0.3">
      <c r="A416" s="27"/>
      <c r="B416" s="27"/>
      <c r="C416" s="27"/>
      <c r="D416" s="130">
        <f t="shared" si="8"/>
        <v>0</v>
      </c>
      <c r="E416" s="70"/>
      <c r="F416" s="71"/>
      <c r="G416" s="70"/>
      <c r="H416" s="71"/>
      <c r="I416" s="73"/>
      <c r="J416" s="74"/>
      <c r="K416" s="74"/>
      <c r="L416" s="74"/>
    </row>
    <row r="417" spans="1:12" x14ac:dyDescent="0.3">
      <c r="A417" s="27"/>
      <c r="B417" s="27"/>
      <c r="C417" s="27"/>
      <c r="D417" s="130">
        <f t="shared" si="8"/>
        <v>0</v>
      </c>
      <c r="E417" s="70"/>
      <c r="F417" s="71"/>
      <c r="G417" s="70"/>
      <c r="H417" s="71"/>
      <c r="I417" s="73"/>
      <c r="J417" s="74"/>
      <c r="K417" s="74"/>
      <c r="L417" s="74"/>
    </row>
    <row r="418" spans="1:12" x14ac:dyDescent="0.3">
      <c r="A418" s="27"/>
      <c r="B418" s="27"/>
      <c r="C418" s="27"/>
      <c r="D418" s="130">
        <f t="shared" si="8"/>
        <v>0</v>
      </c>
      <c r="E418" s="70"/>
      <c r="F418" s="71"/>
      <c r="G418" s="70"/>
      <c r="H418" s="71"/>
      <c r="I418" s="73"/>
      <c r="J418" s="74"/>
      <c r="K418" s="74"/>
      <c r="L418" s="74"/>
    </row>
    <row r="419" spans="1:12" x14ac:dyDescent="0.3">
      <c r="A419" s="27"/>
      <c r="B419" s="27"/>
      <c r="C419" s="27"/>
      <c r="D419" s="130">
        <f t="shared" si="8"/>
        <v>0</v>
      </c>
      <c r="E419" s="70"/>
      <c r="F419" s="71"/>
      <c r="G419" s="70"/>
      <c r="H419" s="71"/>
      <c r="I419" s="73"/>
      <c r="J419" s="74"/>
      <c r="K419" s="74"/>
      <c r="L419" s="74"/>
    </row>
    <row r="420" spans="1:12" x14ac:dyDescent="0.3">
      <c r="A420" s="27"/>
      <c r="B420" s="27"/>
      <c r="C420" s="27"/>
      <c r="D420" s="130">
        <f t="shared" si="8"/>
        <v>0</v>
      </c>
      <c r="E420" s="70"/>
      <c r="F420" s="71"/>
      <c r="G420" s="70"/>
      <c r="H420" s="71"/>
      <c r="I420" s="73"/>
      <c r="J420" s="74"/>
      <c r="K420" s="74"/>
      <c r="L420" s="74"/>
    </row>
    <row r="421" spans="1:12" x14ac:dyDescent="0.3">
      <c r="A421" s="27"/>
      <c r="B421" s="27"/>
      <c r="C421" s="27"/>
      <c r="D421" s="130">
        <f t="shared" si="8"/>
        <v>0</v>
      </c>
      <c r="E421" s="70"/>
      <c r="F421" s="71"/>
      <c r="G421" s="70"/>
      <c r="H421" s="71"/>
      <c r="I421" s="73"/>
      <c r="J421" s="74"/>
      <c r="K421" s="74"/>
      <c r="L421" s="74"/>
    </row>
    <row r="422" spans="1:12" x14ac:dyDescent="0.3">
      <c r="A422" s="27"/>
      <c r="B422" s="27"/>
      <c r="C422" s="27"/>
      <c r="D422" s="130">
        <f t="shared" si="8"/>
        <v>0</v>
      </c>
      <c r="E422" s="70"/>
      <c r="F422" s="71"/>
      <c r="G422" s="70"/>
      <c r="H422" s="71"/>
      <c r="I422" s="73"/>
      <c r="J422" s="74"/>
      <c r="K422" s="74"/>
      <c r="L422" s="74"/>
    </row>
    <row r="423" spans="1:12" x14ac:dyDescent="0.3">
      <c r="A423" s="27"/>
      <c r="B423" s="27"/>
      <c r="C423" s="27"/>
      <c r="D423" s="130">
        <f t="shared" si="8"/>
        <v>0</v>
      </c>
      <c r="E423" s="70"/>
      <c r="F423" s="71"/>
      <c r="G423" s="70"/>
      <c r="H423" s="71"/>
      <c r="I423" s="73"/>
      <c r="J423" s="74"/>
      <c r="K423" s="74"/>
      <c r="L423" s="74"/>
    </row>
    <row r="424" spans="1:12" x14ac:dyDescent="0.3">
      <c r="A424" s="27"/>
      <c r="B424" s="27"/>
      <c r="C424" s="27"/>
      <c r="D424" s="130">
        <f t="shared" si="8"/>
        <v>0</v>
      </c>
      <c r="E424" s="70"/>
      <c r="F424" s="71"/>
      <c r="G424" s="70"/>
      <c r="H424" s="71"/>
      <c r="I424" s="73"/>
      <c r="J424" s="74"/>
      <c r="K424" s="74"/>
      <c r="L424" s="74"/>
    </row>
    <row r="425" spans="1:12" x14ac:dyDescent="0.3">
      <c r="A425" s="27"/>
      <c r="B425" s="27"/>
      <c r="C425" s="27"/>
      <c r="D425" s="130">
        <f t="shared" si="8"/>
        <v>0</v>
      </c>
      <c r="E425" s="70"/>
      <c r="F425" s="71"/>
      <c r="G425" s="70"/>
      <c r="H425" s="71"/>
      <c r="I425" s="73"/>
      <c r="J425" s="74"/>
      <c r="K425" s="74"/>
      <c r="L425" s="74"/>
    </row>
    <row r="426" spans="1:12" x14ac:dyDescent="0.3">
      <c r="A426" s="27"/>
      <c r="B426" s="27"/>
      <c r="C426" s="27"/>
      <c r="D426" s="130">
        <f t="shared" si="8"/>
        <v>0</v>
      </c>
      <c r="E426" s="70"/>
      <c r="F426" s="71"/>
      <c r="G426" s="70"/>
      <c r="H426" s="71"/>
      <c r="I426" s="73"/>
      <c r="J426" s="74"/>
      <c r="K426" s="74"/>
      <c r="L426" s="74"/>
    </row>
    <row r="427" spans="1:12" x14ac:dyDescent="0.3">
      <c r="A427" s="27"/>
      <c r="B427" s="27"/>
      <c r="C427" s="27"/>
      <c r="D427" s="130">
        <f t="shared" si="8"/>
        <v>0</v>
      </c>
      <c r="E427" s="70"/>
      <c r="F427" s="71"/>
      <c r="G427" s="70"/>
      <c r="H427" s="71"/>
      <c r="I427" s="73"/>
      <c r="J427" s="74"/>
      <c r="K427" s="74"/>
      <c r="L427" s="74"/>
    </row>
    <row r="428" spans="1:12" x14ac:dyDescent="0.3">
      <c r="A428" s="27"/>
      <c r="B428" s="27"/>
      <c r="C428" s="27"/>
      <c r="D428" s="130">
        <f t="shared" si="8"/>
        <v>0</v>
      </c>
      <c r="E428" s="70"/>
      <c r="F428" s="71"/>
      <c r="G428" s="70"/>
      <c r="H428" s="71"/>
      <c r="I428" s="73"/>
      <c r="J428" s="74"/>
      <c r="K428" s="74"/>
      <c r="L428" s="74"/>
    </row>
    <row r="429" spans="1:12" x14ac:dyDescent="0.3">
      <c r="A429" s="27"/>
      <c r="B429" s="27"/>
      <c r="C429" s="27"/>
      <c r="D429" s="130">
        <f t="shared" si="8"/>
        <v>0</v>
      </c>
      <c r="E429" s="70"/>
      <c r="F429" s="71"/>
      <c r="G429" s="70"/>
      <c r="H429" s="71"/>
      <c r="I429" s="73"/>
      <c r="J429" s="74"/>
      <c r="K429" s="74"/>
      <c r="L429" s="74"/>
    </row>
    <row r="430" spans="1:12" x14ac:dyDescent="0.3">
      <c r="A430" s="27"/>
      <c r="B430" s="27"/>
      <c r="C430" s="27"/>
      <c r="D430" s="130">
        <f t="shared" si="8"/>
        <v>0</v>
      </c>
      <c r="E430" s="70"/>
      <c r="F430" s="71"/>
      <c r="G430" s="70"/>
      <c r="H430" s="71"/>
      <c r="I430" s="73"/>
      <c r="J430" s="74"/>
      <c r="K430" s="74"/>
      <c r="L430" s="74"/>
    </row>
    <row r="431" spans="1:12" x14ac:dyDescent="0.3">
      <c r="A431" s="27"/>
      <c r="B431" s="27"/>
      <c r="C431" s="27"/>
      <c r="D431" s="130">
        <f t="shared" si="8"/>
        <v>0</v>
      </c>
      <c r="E431" s="70"/>
      <c r="F431" s="71"/>
      <c r="G431" s="70"/>
      <c r="H431" s="71"/>
      <c r="I431" s="73"/>
      <c r="J431" s="74"/>
      <c r="K431" s="74"/>
      <c r="L431" s="74"/>
    </row>
    <row r="432" spans="1:12" x14ac:dyDescent="0.3">
      <c r="A432" s="27"/>
      <c r="B432" s="27"/>
      <c r="C432" s="27"/>
      <c r="D432" s="130">
        <f t="shared" si="8"/>
        <v>0</v>
      </c>
      <c r="E432" s="70"/>
      <c r="F432" s="71"/>
      <c r="G432" s="70"/>
      <c r="H432" s="71"/>
      <c r="I432" s="73"/>
      <c r="J432" s="74"/>
      <c r="K432" s="74"/>
      <c r="L432" s="74"/>
    </row>
    <row r="433" spans="1:12" x14ac:dyDescent="0.3">
      <c r="A433" s="27"/>
      <c r="B433" s="27"/>
      <c r="C433" s="27"/>
      <c r="D433" s="130">
        <f t="shared" si="8"/>
        <v>0</v>
      </c>
      <c r="E433" s="70"/>
      <c r="F433" s="71"/>
      <c r="G433" s="70"/>
      <c r="H433" s="71"/>
      <c r="I433" s="73"/>
      <c r="J433" s="74"/>
      <c r="K433" s="74"/>
      <c r="L433" s="74"/>
    </row>
    <row r="434" spans="1:12" x14ac:dyDescent="0.3">
      <c r="A434" s="27"/>
      <c r="B434" s="27"/>
      <c r="C434" s="27"/>
      <c r="D434" s="130">
        <f t="shared" si="8"/>
        <v>0</v>
      </c>
      <c r="E434" s="70"/>
      <c r="F434" s="71"/>
      <c r="G434" s="70"/>
      <c r="H434" s="71"/>
      <c r="I434" s="73"/>
      <c r="J434" s="74"/>
      <c r="K434" s="74"/>
      <c r="L434" s="74"/>
    </row>
    <row r="435" spans="1:12" x14ac:dyDescent="0.3">
      <c r="A435" s="27"/>
      <c r="B435" s="27"/>
      <c r="C435" s="27"/>
      <c r="D435" s="130">
        <f t="shared" si="8"/>
        <v>0</v>
      </c>
      <c r="E435" s="70"/>
      <c r="F435" s="71"/>
      <c r="G435" s="70"/>
      <c r="H435" s="71"/>
      <c r="I435" s="73"/>
      <c r="J435" s="74"/>
      <c r="K435" s="74"/>
      <c r="L435" s="74"/>
    </row>
    <row r="436" spans="1:12" x14ac:dyDescent="0.3">
      <c r="A436" s="27"/>
      <c r="B436" s="27"/>
      <c r="C436" s="27"/>
      <c r="D436" s="130">
        <f t="shared" si="8"/>
        <v>0</v>
      </c>
      <c r="E436" s="70"/>
      <c r="F436" s="71"/>
      <c r="G436" s="70"/>
      <c r="H436" s="71"/>
      <c r="I436" s="73"/>
      <c r="J436" s="74"/>
      <c r="K436" s="74"/>
      <c r="L436" s="74"/>
    </row>
    <row r="437" spans="1:12" x14ac:dyDescent="0.3">
      <c r="A437" s="27"/>
      <c r="B437" s="27"/>
      <c r="C437" s="27"/>
      <c r="D437" s="130">
        <f t="shared" si="8"/>
        <v>0</v>
      </c>
      <c r="E437" s="70"/>
      <c r="F437" s="71"/>
      <c r="G437" s="70"/>
      <c r="H437" s="71"/>
      <c r="I437" s="73"/>
      <c r="J437" s="74"/>
      <c r="K437" s="74"/>
      <c r="L437" s="74"/>
    </row>
    <row r="438" spans="1:12" x14ac:dyDescent="0.3">
      <c r="A438" s="27"/>
      <c r="B438" s="27"/>
      <c r="C438" s="27"/>
      <c r="D438" s="130">
        <f t="shared" si="8"/>
        <v>0</v>
      </c>
      <c r="E438" s="70"/>
      <c r="F438" s="71"/>
      <c r="G438" s="70"/>
      <c r="H438" s="71"/>
      <c r="I438" s="73"/>
      <c r="J438" s="74"/>
      <c r="K438" s="74"/>
      <c r="L438" s="74"/>
    </row>
    <row r="439" spans="1:12" x14ac:dyDescent="0.3">
      <c r="A439" s="27"/>
      <c r="B439" s="27"/>
      <c r="C439" s="27"/>
      <c r="D439" s="130">
        <f t="shared" si="8"/>
        <v>0</v>
      </c>
      <c r="E439" s="70"/>
      <c r="F439" s="71"/>
      <c r="G439" s="70"/>
      <c r="H439" s="71"/>
      <c r="I439" s="73"/>
      <c r="J439" s="74"/>
      <c r="K439" s="74"/>
      <c r="L439" s="74"/>
    </row>
    <row r="440" spans="1:12" x14ac:dyDescent="0.3">
      <c r="A440" s="27"/>
      <c r="B440" s="27"/>
      <c r="C440" s="27"/>
      <c r="D440" s="130">
        <f t="shared" si="8"/>
        <v>0</v>
      </c>
      <c r="E440" s="70"/>
      <c r="F440" s="71"/>
      <c r="G440" s="70"/>
      <c r="H440" s="71"/>
      <c r="I440" s="73"/>
      <c r="J440" s="74"/>
      <c r="K440" s="74"/>
      <c r="L440" s="74"/>
    </row>
    <row r="441" spans="1:12" x14ac:dyDescent="0.3">
      <c r="A441" s="27"/>
      <c r="B441" s="27"/>
      <c r="C441" s="27"/>
      <c r="D441" s="130">
        <f t="shared" si="8"/>
        <v>0</v>
      </c>
      <c r="E441" s="70"/>
      <c r="F441" s="71"/>
      <c r="G441" s="70"/>
      <c r="H441" s="71"/>
      <c r="I441" s="73"/>
      <c r="J441" s="74"/>
      <c r="K441" s="74"/>
      <c r="L441" s="74"/>
    </row>
    <row r="442" spans="1:12" x14ac:dyDescent="0.3">
      <c r="A442" s="27"/>
      <c r="B442" s="27"/>
      <c r="C442" s="27"/>
      <c r="D442" s="130">
        <f t="shared" si="8"/>
        <v>0</v>
      </c>
      <c r="E442" s="70"/>
      <c r="F442" s="71"/>
      <c r="G442" s="70"/>
      <c r="H442" s="71"/>
      <c r="I442" s="73"/>
      <c r="J442" s="74"/>
      <c r="K442" s="74"/>
      <c r="L442" s="74"/>
    </row>
    <row r="443" spans="1:12" x14ac:dyDescent="0.3">
      <c r="A443" s="27"/>
      <c r="B443" s="27"/>
      <c r="C443" s="27"/>
      <c r="D443" s="130">
        <f t="shared" si="8"/>
        <v>0</v>
      </c>
      <c r="E443" s="70"/>
      <c r="F443" s="71"/>
      <c r="G443" s="70"/>
      <c r="H443" s="71"/>
      <c r="I443" s="73"/>
      <c r="J443" s="74"/>
      <c r="K443" s="74"/>
      <c r="L443" s="74"/>
    </row>
    <row r="444" spans="1:12" x14ac:dyDescent="0.3">
      <c r="A444" s="27"/>
      <c r="B444" s="27"/>
      <c r="C444" s="27"/>
      <c r="D444" s="130">
        <f t="shared" si="8"/>
        <v>0</v>
      </c>
      <c r="E444" s="70"/>
      <c r="F444" s="71"/>
      <c r="G444" s="70"/>
      <c r="H444" s="71"/>
      <c r="I444" s="73"/>
      <c r="J444" s="74"/>
      <c r="K444" s="74"/>
      <c r="L444" s="74"/>
    </row>
    <row r="445" spans="1:12" x14ac:dyDescent="0.3">
      <c r="A445" s="27"/>
      <c r="B445" s="27"/>
      <c r="C445" s="27"/>
      <c r="D445" s="130">
        <f t="shared" si="8"/>
        <v>0</v>
      </c>
      <c r="E445" s="70"/>
      <c r="F445" s="71"/>
      <c r="G445" s="70"/>
      <c r="H445" s="71"/>
      <c r="I445" s="73"/>
      <c r="J445" s="74"/>
      <c r="K445" s="74"/>
      <c r="L445" s="74"/>
    </row>
    <row r="446" spans="1:12" x14ac:dyDescent="0.3">
      <c r="A446" s="27"/>
      <c r="B446" s="27"/>
      <c r="C446" s="27"/>
      <c r="D446" s="130">
        <f t="shared" si="8"/>
        <v>0</v>
      </c>
      <c r="E446" s="70"/>
      <c r="F446" s="71"/>
      <c r="G446" s="70"/>
      <c r="H446" s="71"/>
      <c r="I446" s="73"/>
      <c r="J446" s="74"/>
      <c r="K446" s="74"/>
      <c r="L446" s="74"/>
    </row>
    <row r="447" spans="1:12" x14ac:dyDescent="0.3">
      <c r="A447" s="27"/>
      <c r="B447" s="27"/>
      <c r="C447" s="27"/>
      <c r="D447" s="130">
        <f t="shared" si="8"/>
        <v>0</v>
      </c>
      <c r="E447" s="70"/>
      <c r="F447" s="71"/>
      <c r="G447" s="70"/>
      <c r="H447" s="71"/>
      <c r="I447" s="73"/>
      <c r="J447" s="74"/>
      <c r="K447" s="74"/>
      <c r="L447" s="74"/>
    </row>
    <row r="448" spans="1:12" x14ac:dyDescent="0.3">
      <c r="A448" s="27"/>
      <c r="B448" s="27"/>
      <c r="C448" s="27"/>
      <c r="D448" s="130">
        <f t="shared" si="8"/>
        <v>0</v>
      </c>
      <c r="E448" s="70"/>
      <c r="F448" s="71"/>
      <c r="G448" s="70"/>
      <c r="H448" s="71"/>
      <c r="I448" s="73"/>
      <c r="J448" s="74"/>
      <c r="K448" s="74"/>
      <c r="L448" s="74"/>
    </row>
    <row r="449" spans="1:12" x14ac:dyDescent="0.3">
      <c r="A449" s="27"/>
      <c r="B449" s="27"/>
      <c r="C449" s="27"/>
      <c r="D449" s="130">
        <f t="shared" si="8"/>
        <v>0</v>
      </c>
      <c r="E449" s="70"/>
      <c r="F449" s="71"/>
      <c r="G449" s="70"/>
      <c r="H449" s="71"/>
      <c r="I449" s="73"/>
      <c r="J449" s="74"/>
      <c r="K449" s="74"/>
      <c r="L449" s="74"/>
    </row>
    <row r="450" spans="1:12" x14ac:dyDescent="0.3">
      <c r="A450" s="27"/>
      <c r="B450" s="27"/>
      <c r="C450" s="27"/>
      <c r="D450" s="130">
        <f t="shared" si="8"/>
        <v>0</v>
      </c>
      <c r="E450" s="70"/>
      <c r="F450" s="71"/>
      <c r="G450" s="70"/>
      <c r="H450" s="71"/>
      <c r="I450" s="73"/>
      <c r="J450" s="74"/>
      <c r="K450" s="74"/>
      <c r="L450" s="74"/>
    </row>
    <row r="451" spans="1:12" x14ac:dyDescent="0.3">
      <c r="A451" s="27"/>
      <c r="B451" s="27"/>
      <c r="C451" s="27"/>
      <c r="D451" s="130">
        <f t="shared" si="8"/>
        <v>0</v>
      </c>
      <c r="E451" s="70"/>
      <c r="F451" s="71"/>
      <c r="G451" s="70"/>
      <c r="H451" s="71"/>
      <c r="I451" s="73"/>
      <c r="J451" s="74"/>
      <c r="K451" s="74"/>
      <c r="L451" s="74"/>
    </row>
    <row r="452" spans="1:12" x14ac:dyDescent="0.3">
      <c r="A452" s="27"/>
      <c r="B452" s="27"/>
      <c r="C452" s="27"/>
      <c r="D452" s="130">
        <f t="shared" si="8"/>
        <v>0</v>
      </c>
      <c r="E452" s="70"/>
      <c r="F452" s="71"/>
      <c r="G452" s="70"/>
      <c r="H452" s="71"/>
      <c r="I452" s="73"/>
      <c r="J452" s="74"/>
      <c r="K452" s="74"/>
      <c r="L452" s="74"/>
    </row>
    <row r="453" spans="1:12" x14ac:dyDescent="0.3">
      <c r="A453" s="27"/>
      <c r="B453" s="27"/>
      <c r="C453" s="27"/>
      <c r="D453" s="130">
        <f t="shared" si="8"/>
        <v>0</v>
      </c>
      <c r="E453" s="70"/>
      <c r="F453" s="71"/>
      <c r="G453" s="70"/>
      <c r="H453" s="71"/>
      <c r="I453" s="73"/>
      <c r="J453" s="74"/>
      <c r="K453" s="74"/>
      <c r="L453" s="74"/>
    </row>
    <row r="454" spans="1:12" x14ac:dyDescent="0.3">
      <c r="A454" s="27"/>
      <c r="B454" s="27"/>
      <c r="C454" s="27"/>
      <c r="D454" s="130">
        <f t="shared" si="8"/>
        <v>0</v>
      </c>
      <c r="E454" s="70"/>
      <c r="F454" s="71"/>
      <c r="G454" s="70"/>
      <c r="H454" s="71"/>
      <c r="I454" s="73"/>
      <c r="J454" s="74"/>
      <c r="K454" s="74"/>
      <c r="L454" s="74"/>
    </row>
    <row r="455" spans="1:12" x14ac:dyDescent="0.3">
      <c r="A455" s="27"/>
      <c r="B455" s="27"/>
      <c r="C455" s="27"/>
      <c r="D455" s="130">
        <f t="shared" si="8"/>
        <v>0</v>
      </c>
      <c r="E455" s="70"/>
      <c r="F455" s="71"/>
      <c r="G455" s="70"/>
      <c r="H455" s="71"/>
      <c r="I455" s="73"/>
      <c r="J455" s="74"/>
      <c r="K455" s="74"/>
      <c r="L455" s="74"/>
    </row>
    <row r="456" spans="1:12" x14ac:dyDescent="0.3">
      <c r="A456" s="27"/>
      <c r="B456" s="27"/>
      <c r="C456" s="27"/>
      <c r="D456" s="130">
        <f t="shared" ref="D456:D486" si="9">B456*$F$2+C456*$F$3</f>
        <v>0</v>
      </c>
      <c r="E456" s="70"/>
      <c r="F456" s="71"/>
      <c r="G456" s="70"/>
      <c r="H456" s="71"/>
      <c r="I456" s="73"/>
      <c r="J456" s="74"/>
      <c r="K456" s="74"/>
      <c r="L456" s="74"/>
    </row>
    <row r="457" spans="1:12" x14ac:dyDescent="0.3">
      <c r="A457" s="27"/>
      <c r="B457" s="27"/>
      <c r="C457" s="27"/>
      <c r="D457" s="130">
        <f t="shared" si="9"/>
        <v>0</v>
      </c>
      <c r="E457" s="70"/>
      <c r="F457" s="71"/>
      <c r="G457" s="70"/>
      <c r="H457" s="71"/>
      <c r="I457" s="73"/>
      <c r="J457" s="74"/>
      <c r="K457" s="74"/>
      <c r="L457" s="74"/>
    </row>
    <row r="458" spans="1:12" x14ac:dyDescent="0.3">
      <c r="A458" s="27"/>
      <c r="B458" s="27"/>
      <c r="C458" s="27"/>
      <c r="D458" s="130">
        <f t="shared" si="9"/>
        <v>0</v>
      </c>
      <c r="E458" s="70"/>
      <c r="F458" s="71"/>
      <c r="G458" s="70"/>
      <c r="H458" s="71"/>
      <c r="I458" s="73"/>
      <c r="J458" s="74"/>
      <c r="K458" s="74"/>
      <c r="L458" s="74"/>
    </row>
    <row r="459" spans="1:12" x14ac:dyDescent="0.3">
      <c r="A459" s="27"/>
      <c r="B459" s="27"/>
      <c r="C459" s="27"/>
      <c r="D459" s="130">
        <f t="shared" si="9"/>
        <v>0</v>
      </c>
      <c r="E459" s="70"/>
      <c r="F459" s="71"/>
      <c r="G459" s="70"/>
      <c r="H459" s="71"/>
      <c r="I459" s="73"/>
      <c r="J459" s="74"/>
      <c r="K459" s="74"/>
      <c r="L459" s="74"/>
    </row>
    <row r="460" spans="1:12" x14ac:dyDescent="0.3">
      <c r="A460" s="27"/>
      <c r="B460" s="27"/>
      <c r="C460" s="27"/>
      <c r="D460" s="130">
        <f t="shared" si="9"/>
        <v>0</v>
      </c>
      <c r="E460" s="70"/>
      <c r="F460" s="71"/>
      <c r="G460" s="70"/>
      <c r="H460" s="71"/>
      <c r="I460" s="73"/>
      <c r="J460" s="74"/>
      <c r="K460" s="74"/>
      <c r="L460" s="74"/>
    </row>
    <row r="461" spans="1:12" x14ac:dyDescent="0.3">
      <c r="A461" s="27"/>
      <c r="B461" s="27"/>
      <c r="C461" s="27"/>
      <c r="D461" s="130">
        <f t="shared" si="9"/>
        <v>0</v>
      </c>
      <c r="E461" s="70"/>
      <c r="F461" s="71"/>
      <c r="G461" s="70"/>
      <c r="H461" s="71"/>
      <c r="I461" s="73"/>
      <c r="J461" s="74"/>
      <c r="K461" s="74"/>
      <c r="L461" s="74"/>
    </row>
    <row r="462" spans="1:12" x14ac:dyDescent="0.3">
      <c r="A462" s="27"/>
      <c r="B462" s="27"/>
      <c r="C462" s="27"/>
      <c r="D462" s="130">
        <f t="shared" si="9"/>
        <v>0</v>
      </c>
      <c r="E462" s="70"/>
      <c r="F462" s="71"/>
      <c r="G462" s="70"/>
      <c r="H462" s="71"/>
      <c r="I462" s="73"/>
      <c r="J462" s="74"/>
      <c r="K462" s="74"/>
      <c r="L462" s="74"/>
    </row>
    <row r="463" spans="1:12" x14ac:dyDescent="0.3">
      <c r="A463" s="27"/>
      <c r="B463" s="27"/>
      <c r="C463" s="27"/>
      <c r="D463" s="130">
        <f t="shared" si="9"/>
        <v>0</v>
      </c>
      <c r="E463" s="70"/>
      <c r="F463" s="71"/>
      <c r="G463" s="70"/>
      <c r="H463" s="71"/>
      <c r="I463" s="73"/>
      <c r="J463" s="74"/>
      <c r="K463" s="74"/>
      <c r="L463" s="74"/>
    </row>
    <row r="464" spans="1:12" x14ac:dyDescent="0.3">
      <c r="A464" s="27"/>
      <c r="B464" s="27"/>
      <c r="C464" s="27"/>
      <c r="D464" s="130">
        <f t="shared" si="9"/>
        <v>0</v>
      </c>
      <c r="E464" s="70"/>
      <c r="F464" s="71"/>
      <c r="G464" s="70"/>
      <c r="H464" s="71"/>
      <c r="I464" s="73"/>
      <c r="J464" s="74"/>
      <c r="K464" s="74"/>
      <c r="L464" s="74"/>
    </row>
    <row r="465" spans="1:12" x14ac:dyDescent="0.3">
      <c r="A465" s="27"/>
      <c r="B465" s="27"/>
      <c r="C465" s="27"/>
      <c r="D465" s="130">
        <f t="shared" si="9"/>
        <v>0</v>
      </c>
      <c r="E465" s="70"/>
      <c r="F465" s="71"/>
      <c r="G465" s="70"/>
      <c r="H465" s="71"/>
      <c r="I465" s="73"/>
      <c r="J465" s="74"/>
      <c r="K465" s="74"/>
      <c r="L465" s="74"/>
    </row>
    <row r="466" spans="1:12" x14ac:dyDescent="0.3">
      <c r="A466" s="27"/>
      <c r="B466" s="27"/>
      <c r="C466" s="27"/>
      <c r="D466" s="130">
        <f t="shared" si="9"/>
        <v>0</v>
      </c>
      <c r="E466" s="70"/>
      <c r="F466" s="71"/>
      <c r="G466" s="70"/>
      <c r="H466" s="71"/>
      <c r="I466" s="73"/>
      <c r="J466" s="74"/>
      <c r="K466" s="74"/>
      <c r="L466" s="74"/>
    </row>
    <row r="467" spans="1:12" x14ac:dyDescent="0.3">
      <c r="A467" s="27"/>
      <c r="B467" s="27"/>
      <c r="C467" s="27"/>
      <c r="D467" s="130">
        <f t="shared" si="9"/>
        <v>0</v>
      </c>
      <c r="E467" s="70"/>
      <c r="F467" s="71"/>
      <c r="G467" s="70"/>
      <c r="H467" s="71"/>
      <c r="I467" s="73"/>
      <c r="J467" s="74"/>
      <c r="K467" s="74"/>
      <c r="L467" s="74"/>
    </row>
    <row r="468" spans="1:12" x14ac:dyDescent="0.3">
      <c r="A468" s="27"/>
      <c r="B468" s="27"/>
      <c r="C468" s="27"/>
      <c r="D468" s="130">
        <f t="shared" si="9"/>
        <v>0</v>
      </c>
      <c r="E468" s="70"/>
      <c r="F468" s="71"/>
      <c r="G468" s="70"/>
      <c r="H468" s="71"/>
      <c r="I468" s="73"/>
      <c r="J468" s="74"/>
      <c r="K468" s="74"/>
      <c r="L468" s="74"/>
    </row>
    <row r="469" spans="1:12" x14ac:dyDescent="0.3">
      <c r="A469" s="27"/>
      <c r="B469" s="27"/>
      <c r="C469" s="27"/>
      <c r="D469" s="130">
        <f t="shared" si="9"/>
        <v>0</v>
      </c>
      <c r="E469" s="70"/>
      <c r="F469" s="71"/>
      <c r="G469" s="70"/>
      <c r="H469" s="71"/>
      <c r="I469" s="73"/>
      <c r="J469" s="74"/>
      <c r="K469" s="74"/>
      <c r="L469" s="74"/>
    </row>
    <row r="470" spans="1:12" x14ac:dyDescent="0.3">
      <c r="A470" s="27"/>
      <c r="B470" s="27"/>
      <c r="C470" s="27"/>
      <c r="D470" s="130">
        <f t="shared" si="9"/>
        <v>0</v>
      </c>
      <c r="E470" s="70"/>
      <c r="F470" s="71"/>
      <c r="G470" s="70"/>
      <c r="H470" s="71"/>
      <c r="I470" s="73"/>
      <c r="J470" s="74"/>
      <c r="K470" s="74"/>
      <c r="L470" s="74"/>
    </row>
    <row r="471" spans="1:12" x14ac:dyDescent="0.3">
      <c r="A471" s="27"/>
      <c r="B471" s="27"/>
      <c r="C471" s="27"/>
      <c r="D471" s="130">
        <f t="shared" si="9"/>
        <v>0</v>
      </c>
      <c r="E471" s="70"/>
      <c r="F471" s="71"/>
      <c r="G471" s="70"/>
      <c r="H471" s="71"/>
      <c r="I471" s="73"/>
      <c r="J471" s="74"/>
      <c r="K471" s="74"/>
      <c r="L471" s="74"/>
    </row>
    <row r="472" spans="1:12" x14ac:dyDescent="0.3">
      <c r="A472" s="27"/>
      <c r="B472" s="27"/>
      <c r="C472" s="27"/>
      <c r="D472" s="130">
        <f t="shared" si="9"/>
        <v>0</v>
      </c>
      <c r="E472" s="70"/>
      <c r="F472" s="71"/>
      <c r="G472" s="70"/>
      <c r="H472" s="71"/>
      <c r="I472" s="73"/>
      <c r="J472" s="74"/>
      <c r="K472" s="74"/>
      <c r="L472" s="74"/>
    </row>
    <row r="473" spans="1:12" x14ac:dyDescent="0.3">
      <c r="A473" s="27"/>
      <c r="B473" s="27"/>
      <c r="C473" s="27"/>
      <c r="D473" s="130">
        <f t="shared" si="9"/>
        <v>0</v>
      </c>
      <c r="E473" s="70"/>
      <c r="F473" s="71"/>
      <c r="G473" s="70"/>
      <c r="H473" s="71"/>
      <c r="I473" s="73"/>
      <c r="J473" s="74"/>
      <c r="K473" s="74"/>
      <c r="L473" s="74"/>
    </row>
    <row r="474" spans="1:12" x14ac:dyDescent="0.3">
      <c r="A474" s="27"/>
      <c r="B474" s="27"/>
      <c r="C474" s="27"/>
      <c r="D474" s="130">
        <f t="shared" si="9"/>
        <v>0</v>
      </c>
      <c r="E474" s="70"/>
      <c r="F474" s="71"/>
      <c r="G474" s="70"/>
      <c r="H474" s="71"/>
      <c r="I474" s="73"/>
      <c r="J474" s="74"/>
      <c r="K474" s="74"/>
      <c r="L474" s="74"/>
    </row>
    <row r="475" spans="1:12" x14ac:dyDescent="0.3">
      <c r="A475" s="27"/>
      <c r="B475" s="27"/>
      <c r="C475" s="27"/>
      <c r="D475" s="130">
        <f t="shared" si="9"/>
        <v>0</v>
      </c>
      <c r="E475" s="70"/>
      <c r="F475" s="71"/>
      <c r="G475" s="70"/>
      <c r="H475" s="71"/>
      <c r="I475" s="73"/>
      <c r="J475" s="74"/>
      <c r="K475" s="74"/>
      <c r="L475" s="74"/>
    </row>
    <row r="476" spans="1:12" x14ac:dyDescent="0.3">
      <c r="A476" s="27"/>
      <c r="B476" s="27"/>
      <c r="C476" s="27"/>
      <c r="D476" s="130">
        <f t="shared" si="9"/>
        <v>0</v>
      </c>
      <c r="E476" s="70"/>
      <c r="F476" s="71"/>
      <c r="G476" s="70"/>
      <c r="H476" s="71"/>
      <c r="I476" s="73"/>
      <c r="J476" s="74"/>
      <c r="K476" s="74"/>
      <c r="L476" s="74"/>
    </row>
    <row r="477" spans="1:12" x14ac:dyDescent="0.3">
      <c r="A477" s="27"/>
      <c r="B477" s="27"/>
      <c r="C477" s="27"/>
      <c r="D477" s="130">
        <f t="shared" si="9"/>
        <v>0</v>
      </c>
      <c r="E477" s="70"/>
      <c r="F477" s="71"/>
      <c r="G477" s="70"/>
      <c r="H477" s="71"/>
      <c r="I477" s="73"/>
      <c r="J477" s="74"/>
      <c r="K477" s="74"/>
      <c r="L477" s="74"/>
    </row>
    <row r="478" spans="1:12" x14ac:dyDescent="0.3">
      <c r="A478" s="27"/>
      <c r="B478" s="27"/>
      <c r="C478" s="27"/>
      <c r="D478" s="130">
        <f t="shared" si="9"/>
        <v>0</v>
      </c>
      <c r="E478" s="70"/>
      <c r="F478" s="71"/>
      <c r="G478" s="70"/>
      <c r="H478" s="71"/>
      <c r="I478" s="73"/>
      <c r="J478" s="74"/>
      <c r="K478" s="74"/>
      <c r="L478" s="74"/>
    </row>
    <row r="479" spans="1:12" x14ac:dyDescent="0.3">
      <c r="A479" s="27"/>
      <c r="B479" s="27"/>
      <c r="C479" s="27"/>
      <c r="D479" s="130">
        <f t="shared" si="9"/>
        <v>0</v>
      </c>
      <c r="E479" s="70"/>
      <c r="F479" s="71"/>
      <c r="G479" s="70"/>
      <c r="H479" s="71"/>
      <c r="I479" s="73"/>
      <c r="J479" s="74"/>
      <c r="K479" s="74"/>
      <c r="L479" s="74"/>
    </row>
    <row r="480" spans="1:12" x14ac:dyDescent="0.3">
      <c r="A480" s="27"/>
      <c r="B480" s="27"/>
      <c r="C480" s="27"/>
      <c r="D480" s="130">
        <f t="shared" si="9"/>
        <v>0</v>
      </c>
      <c r="E480" s="70"/>
      <c r="F480" s="71"/>
      <c r="G480" s="70"/>
      <c r="H480" s="71"/>
      <c r="I480" s="73"/>
      <c r="J480" s="74"/>
      <c r="K480" s="74"/>
      <c r="L480" s="74"/>
    </row>
    <row r="481" spans="1:12" x14ac:dyDescent="0.3">
      <c r="A481" s="27"/>
      <c r="B481" s="27"/>
      <c r="C481" s="27"/>
      <c r="D481" s="130">
        <f t="shared" si="9"/>
        <v>0</v>
      </c>
      <c r="E481" s="70"/>
      <c r="F481" s="71"/>
      <c r="G481" s="70"/>
      <c r="H481" s="71"/>
      <c r="I481" s="73"/>
      <c r="J481" s="74"/>
      <c r="K481" s="74"/>
      <c r="L481" s="74"/>
    </row>
    <row r="482" spans="1:12" x14ac:dyDescent="0.3">
      <c r="A482" s="27"/>
      <c r="B482" s="27"/>
      <c r="C482" s="27"/>
      <c r="D482" s="130">
        <f t="shared" si="9"/>
        <v>0</v>
      </c>
      <c r="E482" s="70"/>
      <c r="F482" s="71"/>
      <c r="G482" s="70"/>
      <c r="H482" s="71"/>
      <c r="I482" s="73"/>
      <c r="J482" s="74"/>
      <c r="K482" s="74"/>
      <c r="L482" s="74"/>
    </row>
    <row r="483" spans="1:12" x14ac:dyDescent="0.3">
      <c r="A483" s="27"/>
      <c r="B483" s="27"/>
      <c r="C483" s="27"/>
      <c r="D483" s="130">
        <f t="shared" si="9"/>
        <v>0</v>
      </c>
      <c r="E483" s="70"/>
      <c r="F483" s="71"/>
      <c r="G483" s="70"/>
      <c r="H483" s="71"/>
      <c r="I483" s="73"/>
      <c r="J483" s="74"/>
      <c r="K483" s="74"/>
      <c r="L483" s="74"/>
    </row>
    <row r="484" spans="1:12" x14ac:dyDescent="0.3">
      <c r="A484" s="27"/>
      <c r="B484" s="27"/>
      <c r="C484" s="27"/>
      <c r="D484" s="130">
        <f t="shared" si="9"/>
        <v>0</v>
      </c>
      <c r="E484" s="70"/>
      <c r="F484" s="71"/>
      <c r="G484" s="70"/>
      <c r="H484" s="71"/>
      <c r="I484" s="73"/>
      <c r="J484" s="74"/>
      <c r="K484" s="74"/>
      <c r="L484" s="74"/>
    </row>
    <row r="485" spans="1:12" x14ac:dyDescent="0.3">
      <c r="A485" s="27"/>
      <c r="B485" s="27"/>
      <c r="C485" s="27"/>
      <c r="D485" s="130">
        <f t="shared" si="9"/>
        <v>0</v>
      </c>
      <c r="E485" s="70"/>
      <c r="F485" s="71"/>
      <c r="G485" s="70"/>
      <c r="H485" s="71"/>
      <c r="I485" s="73"/>
      <c r="J485" s="74"/>
      <c r="K485" s="74"/>
      <c r="L485" s="74"/>
    </row>
    <row r="486" spans="1:12" x14ac:dyDescent="0.3">
      <c r="A486" s="27"/>
      <c r="B486" s="27"/>
      <c r="C486" s="27"/>
      <c r="D486" s="130">
        <f t="shared" si="9"/>
        <v>0</v>
      </c>
      <c r="E486" s="70"/>
      <c r="F486" s="71"/>
      <c r="G486" s="70"/>
      <c r="H486" s="71"/>
      <c r="I486" s="73"/>
      <c r="J486" s="74"/>
      <c r="K486" s="74"/>
      <c r="L486" s="74"/>
    </row>
    <row r="487" spans="1:12" x14ac:dyDescent="0.3">
      <c r="A487" s="27"/>
      <c r="B487" s="27"/>
      <c r="C487" s="27"/>
      <c r="D487" s="68"/>
      <c r="E487" s="70"/>
      <c r="F487" s="71"/>
      <c r="G487" s="70"/>
      <c r="H487" s="71"/>
      <c r="I487" s="73"/>
      <c r="J487" s="74"/>
      <c r="K487" s="74"/>
      <c r="L487" s="74"/>
    </row>
    <row r="488" spans="1:12" x14ac:dyDescent="0.3">
      <c r="A488" s="27"/>
      <c r="B488" s="27"/>
      <c r="C488" s="27"/>
      <c r="D488" s="68"/>
      <c r="E488" s="70"/>
      <c r="F488" s="71"/>
      <c r="G488" s="70"/>
      <c r="H488" s="71"/>
      <c r="I488" s="73"/>
      <c r="J488" s="74"/>
      <c r="K488" s="74"/>
      <c r="L488" s="74"/>
    </row>
    <row r="489" spans="1:12" x14ac:dyDescent="0.3">
      <c r="A489" s="27"/>
      <c r="B489" s="27"/>
      <c r="C489" s="27"/>
      <c r="D489" s="68"/>
      <c r="E489" s="70"/>
      <c r="F489" s="71"/>
      <c r="G489" s="70"/>
      <c r="H489" s="71"/>
      <c r="I489" s="73"/>
      <c r="J489" s="74"/>
      <c r="K489" s="74"/>
      <c r="L489" s="74"/>
    </row>
    <row r="490" spans="1:12" x14ac:dyDescent="0.3">
      <c r="A490" s="27"/>
      <c r="B490" s="27"/>
      <c r="C490" s="27"/>
      <c r="D490" s="68"/>
      <c r="E490" s="70"/>
      <c r="F490" s="71"/>
      <c r="G490" s="70"/>
      <c r="H490" s="71"/>
      <c r="I490" s="73"/>
      <c r="J490" s="74"/>
      <c r="K490" s="74"/>
      <c r="L490" s="74"/>
    </row>
    <row r="491" spans="1:12" x14ac:dyDescent="0.3">
      <c r="A491" s="27"/>
      <c r="B491" s="27"/>
      <c r="C491" s="27"/>
      <c r="D491" s="68"/>
      <c r="E491" s="70"/>
      <c r="F491" s="71"/>
      <c r="G491" s="70"/>
      <c r="H491" s="71"/>
      <c r="I491" s="73"/>
      <c r="J491" s="74"/>
      <c r="K491" s="74"/>
      <c r="L491" s="74"/>
    </row>
    <row r="492" spans="1:12" x14ac:dyDescent="0.3">
      <c r="A492" s="27"/>
      <c r="B492" s="27"/>
      <c r="C492" s="27"/>
      <c r="D492" s="68"/>
      <c r="E492" s="70"/>
      <c r="F492" s="71"/>
      <c r="G492" s="70"/>
      <c r="H492" s="71"/>
      <c r="I492" s="73"/>
      <c r="J492" s="74"/>
      <c r="K492" s="74"/>
      <c r="L492" s="74"/>
    </row>
    <row r="493" spans="1:12" x14ac:dyDescent="0.3">
      <c r="A493" s="27"/>
      <c r="B493" s="27"/>
      <c r="C493" s="27"/>
      <c r="D493" s="68"/>
      <c r="E493" s="70"/>
      <c r="F493" s="71"/>
      <c r="G493" s="70"/>
      <c r="H493" s="71"/>
      <c r="I493" s="73"/>
      <c r="J493" s="74"/>
      <c r="K493" s="74"/>
      <c r="L493" s="74"/>
    </row>
    <row r="494" spans="1:12" x14ac:dyDescent="0.3">
      <c r="A494" s="27"/>
      <c r="B494" s="27"/>
      <c r="C494" s="27"/>
      <c r="D494" s="68"/>
      <c r="E494" s="70"/>
      <c r="F494" s="71"/>
      <c r="G494" s="70"/>
      <c r="H494" s="71"/>
      <c r="I494" s="73"/>
      <c r="J494" s="74"/>
      <c r="K494" s="74"/>
      <c r="L494" s="74"/>
    </row>
    <row r="495" spans="1:12" x14ac:dyDescent="0.3">
      <c r="A495" s="27"/>
      <c r="B495" s="27"/>
      <c r="C495" s="27"/>
      <c r="D495" s="68"/>
      <c r="E495" s="70"/>
      <c r="F495" s="71"/>
      <c r="G495" s="70"/>
      <c r="H495" s="71"/>
      <c r="I495" s="73"/>
      <c r="J495" s="74"/>
      <c r="K495" s="74"/>
      <c r="L495" s="74"/>
    </row>
    <row r="496" spans="1:12" x14ac:dyDescent="0.3">
      <c r="A496" s="27"/>
      <c r="B496" s="27"/>
      <c r="C496" s="27"/>
      <c r="D496" s="68"/>
      <c r="E496" s="70"/>
      <c r="F496" s="71"/>
      <c r="G496" s="70"/>
      <c r="H496" s="71"/>
      <c r="I496" s="73"/>
      <c r="J496" s="74"/>
      <c r="K496" s="74"/>
      <c r="L496" s="74"/>
    </row>
    <row r="497" spans="1:12" x14ac:dyDescent="0.3">
      <c r="A497" s="27"/>
      <c r="B497" s="27"/>
      <c r="C497" s="27"/>
      <c r="D497" s="68"/>
      <c r="E497" s="70"/>
      <c r="F497" s="71"/>
      <c r="G497" s="70"/>
      <c r="H497" s="71"/>
      <c r="I497" s="73"/>
      <c r="J497" s="74"/>
      <c r="K497" s="74"/>
      <c r="L497" s="74"/>
    </row>
    <row r="498" spans="1:12" x14ac:dyDescent="0.3">
      <c r="A498" s="27"/>
      <c r="B498" s="27"/>
      <c r="C498" s="27"/>
      <c r="D498" s="68"/>
      <c r="E498" s="70"/>
      <c r="F498" s="71"/>
      <c r="G498" s="70"/>
      <c r="H498" s="71"/>
      <c r="I498" s="73"/>
      <c r="J498" s="74"/>
      <c r="K498" s="74"/>
      <c r="L498" s="74"/>
    </row>
    <row r="499" spans="1:12" x14ac:dyDescent="0.3">
      <c r="A499" s="27"/>
      <c r="B499" s="27"/>
      <c r="C499" s="27"/>
      <c r="D499" s="68"/>
      <c r="E499" s="70"/>
      <c r="F499" s="71"/>
      <c r="G499" s="70"/>
      <c r="H499" s="71"/>
      <c r="I499" s="73"/>
      <c r="J499" s="74"/>
      <c r="K499" s="74"/>
      <c r="L499" s="74"/>
    </row>
    <row r="500" spans="1:12" x14ac:dyDescent="0.3">
      <c r="A500" s="27"/>
      <c r="B500" s="27"/>
      <c r="C500" s="27"/>
      <c r="D500" s="68"/>
      <c r="E500" s="70"/>
      <c r="F500" s="71"/>
      <c r="G500" s="70"/>
      <c r="H500" s="71"/>
      <c r="I500" s="73"/>
      <c r="J500" s="74"/>
      <c r="K500" s="74"/>
      <c r="L500" s="74"/>
    </row>
    <row r="501" spans="1:12" x14ac:dyDescent="0.3">
      <c r="A501" s="27"/>
      <c r="B501" s="27"/>
      <c r="C501" s="27"/>
      <c r="D501" s="68"/>
      <c r="E501" s="70"/>
      <c r="F501" s="71"/>
      <c r="G501" s="70"/>
      <c r="H501" s="71"/>
      <c r="I501" s="73"/>
      <c r="J501" s="74"/>
      <c r="K501" s="74"/>
      <c r="L501" s="74"/>
    </row>
    <row r="502" spans="1:12" x14ac:dyDescent="0.3">
      <c r="A502" s="27"/>
      <c r="B502" s="27"/>
      <c r="C502" s="27"/>
      <c r="D502" s="68"/>
      <c r="E502" s="70"/>
      <c r="F502" s="71"/>
      <c r="G502" s="70"/>
      <c r="H502" s="71"/>
      <c r="I502" s="73"/>
      <c r="J502" s="74"/>
      <c r="K502" s="74"/>
      <c r="L502" s="74"/>
    </row>
    <row r="503" spans="1:12" x14ac:dyDescent="0.3">
      <c r="A503" s="27"/>
      <c r="B503" s="27"/>
      <c r="C503" s="27"/>
      <c r="D503" s="68"/>
      <c r="E503" s="70"/>
      <c r="F503" s="71"/>
      <c r="G503" s="70"/>
      <c r="H503" s="71"/>
      <c r="I503" s="73"/>
      <c r="J503" s="74"/>
      <c r="K503" s="74"/>
      <c r="L503" s="74"/>
    </row>
    <row r="504" spans="1:12" x14ac:dyDescent="0.3">
      <c r="A504" s="27"/>
      <c r="B504" s="27"/>
      <c r="C504" s="27"/>
      <c r="D504" s="68"/>
      <c r="E504" s="70"/>
      <c r="F504" s="71"/>
      <c r="G504" s="70"/>
      <c r="H504" s="71"/>
      <c r="I504" s="73"/>
      <c r="J504" s="74"/>
      <c r="K504" s="74"/>
      <c r="L504" s="74"/>
    </row>
    <row r="505" spans="1:12" x14ac:dyDescent="0.3">
      <c r="A505" s="27"/>
      <c r="B505" s="27"/>
      <c r="C505" s="27"/>
      <c r="D505" s="68"/>
      <c r="E505" s="70"/>
      <c r="F505" s="71"/>
      <c r="G505" s="70"/>
      <c r="H505" s="71"/>
      <c r="I505" s="73"/>
      <c r="J505" s="74"/>
      <c r="K505" s="74"/>
      <c r="L505" s="74"/>
    </row>
    <row r="506" spans="1:12" x14ac:dyDescent="0.3">
      <c r="A506" s="27"/>
      <c r="B506" s="27"/>
      <c r="C506" s="27"/>
      <c r="D506" s="68"/>
      <c r="E506" s="70"/>
      <c r="F506" s="71"/>
      <c r="G506" s="70"/>
      <c r="H506" s="71"/>
      <c r="I506" s="73"/>
      <c r="J506" s="74"/>
      <c r="K506" s="74"/>
      <c r="L506" s="74"/>
    </row>
    <row r="507" spans="1:12" x14ac:dyDescent="0.3">
      <c r="A507" s="27"/>
      <c r="B507" s="27"/>
      <c r="C507" s="27"/>
      <c r="D507" s="68"/>
      <c r="E507" s="70"/>
      <c r="F507" s="71"/>
      <c r="G507" s="70"/>
      <c r="H507" s="71"/>
      <c r="I507" s="73"/>
      <c r="J507" s="74"/>
      <c r="K507" s="74"/>
      <c r="L507" s="74"/>
    </row>
    <row r="508" spans="1:12" x14ac:dyDescent="0.3">
      <c r="A508" s="27"/>
      <c r="B508" s="27"/>
      <c r="C508" s="27"/>
      <c r="D508" s="68"/>
      <c r="E508" s="70"/>
      <c r="F508" s="71"/>
      <c r="G508" s="70"/>
      <c r="H508" s="71"/>
      <c r="I508" s="73"/>
      <c r="J508" s="74"/>
      <c r="K508" s="74"/>
      <c r="L508" s="74"/>
    </row>
    <row r="509" spans="1:12" x14ac:dyDescent="0.3">
      <c r="A509" s="27"/>
      <c r="B509" s="27"/>
      <c r="C509" s="27"/>
      <c r="D509" s="68"/>
      <c r="E509" s="70"/>
      <c r="F509" s="71"/>
      <c r="G509" s="70"/>
      <c r="H509" s="71"/>
      <c r="I509" s="73"/>
      <c r="J509" s="74"/>
      <c r="K509" s="74"/>
      <c r="L509" s="74"/>
    </row>
    <row r="510" spans="1:12" x14ac:dyDescent="0.3">
      <c r="A510" s="27"/>
      <c r="B510" s="27"/>
      <c r="C510" s="27"/>
      <c r="D510" s="68"/>
      <c r="E510" s="70"/>
      <c r="F510" s="71"/>
      <c r="G510" s="70"/>
      <c r="H510" s="71"/>
      <c r="I510" s="73"/>
      <c r="J510" s="74"/>
      <c r="K510" s="74"/>
      <c r="L510" s="74"/>
    </row>
    <row r="511" spans="1:12" x14ac:dyDescent="0.3">
      <c r="A511" s="27"/>
      <c r="B511" s="27"/>
      <c r="C511" s="27"/>
      <c r="D511" s="68"/>
      <c r="E511" s="70"/>
      <c r="F511" s="71"/>
      <c r="G511" s="70"/>
      <c r="H511" s="71"/>
      <c r="I511" s="73"/>
      <c r="J511" s="74"/>
      <c r="K511" s="74"/>
      <c r="L511" s="74"/>
    </row>
    <row r="512" spans="1:12" x14ac:dyDescent="0.3">
      <c r="A512" s="27"/>
      <c r="B512" s="27"/>
      <c r="C512" s="27"/>
      <c r="D512" s="68"/>
      <c r="E512" s="70"/>
      <c r="F512" s="71"/>
      <c r="G512" s="70"/>
      <c r="H512" s="71"/>
      <c r="I512" s="73"/>
      <c r="J512" s="74"/>
      <c r="K512" s="74"/>
      <c r="L512" s="74"/>
    </row>
    <row r="513" spans="1:12" x14ac:dyDescent="0.3">
      <c r="A513" s="27"/>
      <c r="B513" s="27"/>
      <c r="C513" s="27"/>
      <c r="D513" s="68"/>
      <c r="E513" s="70"/>
      <c r="F513" s="71"/>
      <c r="G513" s="70"/>
      <c r="H513" s="71"/>
      <c r="I513" s="73"/>
      <c r="J513" s="74"/>
      <c r="K513" s="74"/>
      <c r="L513" s="74"/>
    </row>
    <row r="514" spans="1:12" x14ac:dyDescent="0.3">
      <c r="A514" s="27"/>
      <c r="B514" s="27"/>
      <c r="C514" s="27"/>
      <c r="D514" s="68"/>
      <c r="E514" s="70"/>
      <c r="F514" s="71"/>
      <c r="G514" s="70"/>
      <c r="H514" s="71"/>
      <c r="I514" s="73"/>
      <c r="J514" s="74"/>
      <c r="K514" s="74"/>
      <c r="L514" s="74"/>
    </row>
    <row r="515" spans="1:12" x14ac:dyDescent="0.3">
      <c r="A515" s="27"/>
      <c r="B515" s="27"/>
      <c r="C515" s="27"/>
      <c r="D515" s="68"/>
      <c r="E515" s="70"/>
      <c r="F515" s="71"/>
      <c r="G515" s="70"/>
      <c r="H515" s="71"/>
      <c r="I515" s="73"/>
      <c r="J515" s="74"/>
      <c r="K515" s="74"/>
      <c r="L515" s="74"/>
    </row>
    <row r="516" spans="1:12" x14ac:dyDescent="0.3">
      <c r="A516" s="27"/>
      <c r="B516" s="27"/>
      <c r="C516" s="27"/>
      <c r="D516" s="68"/>
      <c r="E516" s="70"/>
      <c r="F516" s="71"/>
      <c r="G516" s="70"/>
      <c r="H516" s="71"/>
      <c r="I516" s="73"/>
      <c r="J516" s="74"/>
      <c r="K516" s="74"/>
      <c r="L516" s="74"/>
    </row>
    <row r="517" spans="1:12" x14ac:dyDescent="0.3">
      <c r="A517" s="27"/>
      <c r="B517" s="27"/>
      <c r="C517" s="27"/>
      <c r="D517" s="68"/>
      <c r="E517" s="70"/>
      <c r="F517" s="71"/>
      <c r="G517" s="70"/>
      <c r="H517" s="71"/>
      <c r="I517" s="73"/>
      <c r="J517" s="74"/>
      <c r="K517" s="74"/>
      <c r="L517" s="74"/>
    </row>
    <row r="518" spans="1:12" x14ac:dyDescent="0.3">
      <c r="A518" s="27"/>
      <c r="B518" s="27"/>
      <c r="C518" s="27"/>
      <c r="D518" s="68"/>
      <c r="E518" s="70"/>
      <c r="F518" s="71"/>
      <c r="G518" s="70"/>
      <c r="H518" s="71"/>
      <c r="I518" s="73"/>
      <c r="J518" s="74"/>
      <c r="K518" s="74"/>
      <c r="L518" s="74"/>
    </row>
    <row r="519" spans="1:12" x14ac:dyDescent="0.3">
      <c r="A519" s="27"/>
      <c r="B519" s="27"/>
      <c r="C519" s="27"/>
      <c r="D519" s="68"/>
      <c r="E519" s="70"/>
      <c r="F519" s="71"/>
      <c r="G519" s="70"/>
      <c r="H519" s="71"/>
      <c r="I519" s="73"/>
      <c r="J519" s="74"/>
      <c r="K519" s="74"/>
      <c r="L519" s="74"/>
    </row>
    <row r="520" spans="1:12" x14ac:dyDescent="0.3">
      <c r="A520" s="27"/>
      <c r="B520" s="27"/>
      <c r="C520" s="27"/>
      <c r="D520" s="68"/>
      <c r="E520" s="70"/>
      <c r="F520" s="71"/>
      <c r="G520" s="70"/>
      <c r="H520" s="71"/>
      <c r="I520" s="73"/>
      <c r="J520" s="74"/>
      <c r="K520" s="74"/>
      <c r="L520" s="74"/>
    </row>
    <row r="521" spans="1:12" x14ac:dyDescent="0.3">
      <c r="A521" s="27"/>
      <c r="B521" s="27"/>
      <c r="C521" s="27"/>
      <c r="D521" s="68"/>
      <c r="E521" s="70"/>
      <c r="F521" s="71"/>
      <c r="G521" s="70"/>
      <c r="H521" s="71"/>
      <c r="I521" s="73"/>
      <c r="J521" s="74"/>
      <c r="K521" s="74"/>
      <c r="L521" s="74"/>
    </row>
    <row r="522" spans="1:12" x14ac:dyDescent="0.3">
      <c r="A522" s="27"/>
      <c r="B522" s="27"/>
      <c r="C522" s="27"/>
      <c r="D522" s="68"/>
      <c r="E522" s="70"/>
      <c r="F522" s="71"/>
      <c r="G522" s="70"/>
      <c r="H522" s="71"/>
      <c r="I522" s="73"/>
      <c r="J522" s="74"/>
      <c r="K522" s="74"/>
      <c r="L522" s="74"/>
    </row>
    <row r="523" spans="1:12" x14ac:dyDescent="0.3">
      <c r="A523" s="27"/>
      <c r="B523" s="27"/>
      <c r="C523" s="27"/>
      <c r="D523" s="68"/>
      <c r="E523" s="70"/>
      <c r="F523" s="71"/>
      <c r="G523" s="70"/>
      <c r="H523" s="71"/>
      <c r="I523" s="73"/>
      <c r="J523" s="74"/>
      <c r="K523" s="74"/>
      <c r="L523" s="74"/>
    </row>
    <row r="524" spans="1:12" x14ac:dyDescent="0.3">
      <c r="A524" s="27"/>
      <c r="B524" s="27"/>
      <c r="C524" s="27"/>
      <c r="D524" s="68"/>
      <c r="E524" s="70"/>
      <c r="F524" s="71"/>
      <c r="G524" s="70"/>
      <c r="H524" s="71"/>
      <c r="I524" s="73"/>
      <c r="J524" s="74"/>
      <c r="K524" s="74"/>
      <c r="L524" s="74"/>
    </row>
    <row r="525" spans="1:12" x14ac:dyDescent="0.3">
      <c r="A525" s="27"/>
      <c r="B525" s="27"/>
      <c r="C525" s="27"/>
      <c r="D525" s="68"/>
      <c r="E525" s="70"/>
      <c r="F525" s="71"/>
      <c r="G525" s="70"/>
      <c r="H525" s="71"/>
      <c r="I525" s="73"/>
      <c r="J525" s="74"/>
      <c r="K525" s="74"/>
      <c r="L525" s="74"/>
    </row>
    <row r="526" spans="1:12" x14ac:dyDescent="0.3">
      <c r="A526" s="27"/>
      <c r="B526" s="27"/>
      <c r="C526" s="27"/>
      <c r="D526" s="68"/>
      <c r="E526" s="70"/>
      <c r="F526" s="71"/>
      <c r="G526" s="70"/>
      <c r="H526" s="71"/>
      <c r="I526" s="73"/>
      <c r="J526" s="74"/>
      <c r="K526" s="74"/>
      <c r="L526" s="74"/>
    </row>
    <row r="527" spans="1:12" x14ac:dyDescent="0.3">
      <c r="A527" s="27"/>
      <c r="B527" s="27"/>
      <c r="C527" s="27"/>
      <c r="D527" s="68"/>
      <c r="E527" s="70"/>
      <c r="F527" s="71"/>
      <c r="G527" s="70"/>
      <c r="H527" s="71"/>
      <c r="I527" s="73"/>
      <c r="J527" s="74"/>
      <c r="K527" s="74"/>
      <c r="L527" s="74"/>
    </row>
    <row r="528" spans="1:12" x14ac:dyDescent="0.3">
      <c r="A528" s="27"/>
      <c r="B528" s="27"/>
      <c r="C528" s="27"/>
      <c r="D528" s="68"/>
      <c r="E528" s="70"/>
      <c r="F528" s="71"/>
      <c r="G528" s="70"/>
      <c r="H528" s="71"/>
      <c r="I528" s="73"/>
      <c r="J528" s="74"/>
      <c r="K528" s="74"/>
      <c r="L528" s="74"/>
    </row>
    <row r="529" spans="1:12" x14ac:dyDescent="0.3">
      <c r="A529" s="27"/>
      <c r="B529" s="27"/>
      <c r="C529" s="27"/>
      <c r="D529" s="68"/>
      <c r="E529" s="70"/>
      <c r="F529" s="71"/>
      <c r="G529" s="70"/>
      <c r="H529" s="71"/>
      <c r="I529" s="73"/>
      <c r="J529" s="74"/>
      <c r="K529" s="74"/>
      <c r="L529" s="74"/>
    </row>
    <row r="530" spans="1:12" x14ac:dyDescent="0.3">
      <c r="A530" s="27"/>
      <c r="B530" s="27"/>
      <c r="C530" s="27"/>
      <c r="D530" s="68"/>
      <c r="E530" s="70"/>
      <c r="F530" s="71"/>
      <c r="G530" s="70"/>
      <c r="H530" s="71"/>
      <c r="I530" s="73"/>
      <c r="J530" s="74"/>
      <c r="K530" s="74"/>
      <c r="L530" s="74"/>
    </row>
    <row r="531" spans="1:12" x14ac:dyDescent="0.3">
      <c r="A531" s="27"/>
      <c r="B531" s="27"/>
      <c r="C531" s="27"/>
      <c r="D531" s="68"/>
      <c r="E531" s="70"/>
      <c r="F531" s="71"/>
      <c r="G531" s="70"/>
      <c r="H531" s="71"/>
      <c r="I531" s="73"/>
      <c r="J531" s="74"/>
      <c r="K531" s="74"/>
      <c r="L531" s="74"/>
    </row>
    <row r="532" spans="1:12" x14ac:dyDescent="0.3">
      <c r="A532" s="27"/>
      <c r="B532" s="27"/>
      <c r="C532" s="27"/>
      <c r="D532" s="68"/>
      <c r="E532" s="70"/>
      <c r="F532" s="71"/>
      <c r="G532" s="70"/>
      <c r="H532" s="71"/>
      <c r="I532" s="73"/>
      <c r="J532" s="74"/>
      <c r="K532" s="74"/>
      <c r="L532" s="74"/>
    </row>
    <row r="533" spans="1:12" x14ac:dyDescent="0.3">
      <c r="A533" s="27"/>
      <c r="B533" s="27"/>
      <c r="C533" s="27"/>
      <c r="D533" s="68"/>
      <c r="E533" s="70"/>
      <c r="F533" s="71"/>
      <c r="G533" s="70"/>
      <c r="H533" s="71"/>
      <c r="I533" s="73"/>
      <c r="J533" s="74"/>
      <c r="K533" s="74"/>
      <c r="L533" s="74"/>
    </row>
    <row r="534" spans="1:12" x14ac:dyDescent="0.3">
      <c r="A534" s="27"/>
      <c r="B534" s="27"/>
      <c r="C534" s="27"/>
      <c r="D534" s="68"/>
      <c r="E534" s="70"/>
      <c r="F534" s="71"/>
      <c r="G534" s="70"/>
      <c r="H534" s="71"/>
      <c r="I534" s="73"/>
      <c r="J534" s="74"/>
      <c r="K534" s="74"/>
      <c r="L534" s="74"/>
    </row>
    <row r="535" spans="1:12" x14ac:dyDescent="0.3">
      <c r="A535" s="27"/>
      <c r="B535" s="27"/>
      <c r="C535" s="27"/>
      <c r="D535" s="68"/>
      <c r="E535" s="70"/>
      <c r="F535" s="71"/>
      <c r="G535" s="70"/>
      <c r="H535" s="71"/>
      <c r="I535" s="73"/>
      <c r="J535" s="74"/>
      <c r="K535" s="74"/>
      <c r="L535" s="74"/>
    </row>
    <row r="536" spans="1:12" x14ac:dyDescent="0.3">
      <c r="A536" s="27"/>
      <c r="B536" s="27"/>
      <c r="C536" s="27"/>
      <c r="D536" s="68"/>
      <c r="E536" s="70"/>
      <c r="F536" s="71"/>
      <c r="G536" s="70"/>
      <c r="H536" s="71"/>
      <c r="I536" s="73"/>
      <c r="J536" s="74"/>
      <c r="K536" s="74"/>
      <c r="L536" s="74"/>
    </row>
    <row r="537" spans="1:12" x14ac:dyDescent="0.3">
      <c r="A537" s="27"/>
      <c r="B537" s="27"/>
      <c r="C537" s="27"/>
      <c r="D537" s="68"/>
      <c r="E537" s="70"/>
      <c r="F537" s="71"/>
      <c r="G537" s="70"/>
      <c r="H537" s="71"/>
      <c r="I537" s="73"/>
      <c r="J537" s="74"/>
      <c r="K537" s="74"/>
      <c r="L537" s="74"/>
    </row>
    <row r="538" spans="1:12" x14ac:dyDescent="0.3">
      <c r="A538" s="27"/>
      <c r="B538" s="27"/>
      <c r="C538" s="27"/>
      <c r="D538" s="68"/>
      <c r="E538" s="70"/>
      <c r="F538" s="71"/>
      <c r="G538" s="70"/>
      <c r="H538" s="71"/>
      <c r="I538" s="73"/>
      <c r="J538" s="74"/>
      <c r="K538" s="74"/>
      <c r="L538" s="74"/>
    </row>
    <row r="539" spans="1:12" x14ac:dyDescent="0.3">
      <c r="A539" s="27"/>
      <c r="B539" s="27"/>
      <c r="C539" s="27"/>
      <c r="D539" s="68"/>
      <c r="E539" s="70"/>
      <c r="F539" s="71"/>
      <c r="G539" s="70"/>
      <c r="H539" s="71"/>
      <c r="I539" s="73"/>
      <c r="J539" s="74"/>
      <c r="K539" s="74"/>
      <c r="L539" s="74"/>
    </row>
    <row r="540" spans="1:12" x14ac:dyDescent="0.3">
      <c r="A540" s="27"/>
      <c r="B540" s="27"/>
      <c r="C540" s="27"/>
      <c r="D540" s="68"/>
      <c r="E540" s="70"/>
      <c r="F540" s="71"/>
      <c r="G540" s="70"/>
      <c r="H540" s="71"/>
      <c r="I540" s="73"/>
      <c r="J540" s="74"/>
      <c r="K540" s="74"/>
      <c r="L540" s="74"/>
    </row>
    <row r="541" spans="1:12" x14ac:dyDescent="0.3">
      <c r="A541" s="27"/>
      <c r="B541" s="27"/>
      <c r="C541" s="27"/>
      <c r="D541" s="68"/>
      <c r="E541" s="70"/>
      <c r="F541" s="71"/>
      <c r="G541" s="70"/>
      <c r="H541" s="71"/>
      <c r="I541" s="73"/>
      <c r="J541" s="74"/>
      <c r="K541" s="74"/>
      <c r="L541" s="74"/>
    </row>
    <row r="542" spans="1:12" x14ac:dyDescent="0.3">
      <c r="A542" s="27"/>
      <c r="B542" s="27"/>
      <c r="C542" s="27"/>
      <c r="D542" s="68"/>
      <c r="E542" s="70"/>
      <c r="F542" s="71"/>
      <c r="G542" s="70"/>
      <c r="H542" s="71"/>
      <c r="I542" s="73"/>
      <c r="J542" s="74"/>
      <c r="K542" s="74"/>
      <c r="L542" s="74"/>
    </row>
    <row r="543" spans="1:12" x14ac:dyDescent="0.3">
      <c r="A543" s="27"/>
      <c r="B543" s="27"/>
      <c r="C543" s="27"/>
      <c r="D543" s="68"/>
      <c r="E543" s="70"/>
      <c r="F543" s="71"/>
      <c r="G543" s="70"/>
      <c r="H543" s="71"/>
      <c r="I543" s="73"/>
      <c r="J543" s="74"/>
      <c r="K543" s="74"/>
      <c r="L543" s="74"/>
    </row>
    <row r="544" spans="1:12" x14ac:dyDescent="0.3">
      <c r="A544" s="27"/>
      <c r="B544" s="27"/>
      <c r="C544" s="27"/>
      <c r="D544" s="68"/>
      <c r="E544" s="70"/>
      <c r="F544" s="71"/>
      <c r="G544" s="70"/>
      <c r="H544" s="71"/>
      <c r="I544" s="73"/>
      <c r="J544" s="74"/>
      <c r="K544" s="74"/>
      <c r="L544" s="74"/>
    </row>
    <row r="545" spans="1:12" x14ac:dyDescent="0.3">
      <c r="A545" s="27"/>
      <c r="B545" s="27"/>
      <c r="C545" s="27"/>
      <c r="D545" s="68"/>
      <c r="E545" s="70"/>
      <c r="F545" s="71"/>
      <c r="G545" s="70"/>
      <c r="H545" s="71"/>
      <c r="I545" s="73"/>
      <c r="J545" s="74"/>
      <c r="K545" s="74"/>
      <c r="L545" s="74"/>
    </row>
    <row r="546" spans="1:12" x14ac:dyDescent="0.3">
      <c r="A546" s="27"/>
      <c r="B546" s="27"/>
      <c r="C546" s="27"/>
      <c r="D546" s="68"/>
      <c r="E546" s="70"/>
      <c r="F546" s="71"/>
      <c r="G546" s="70"/>
      <c r="H546" s="71"/>
      <c r="I546" s="73"/>
      <c r="J546" s="74"/>
      <c r="K546" s="74"/>
      <c r="L546" s="74"/>
    </row>
    <row r="547" spans="1:12" x14ac:dyDescent="0.3">
      <c r="A547" s="27"/>
      <c r="B547" s="27"/>
      <c r="C547" s="27"/>
      <c r="D547" s="68"/>
      <c r="E547" s="70"/>
      <c r="F547" s="71"/>
      <c r="G547" s="70"/>
      <c r="H547" s="71"/>
      <c r="I547" s="73"/>
      <c r="J547" s="74"/>
      <c r="K547" s="74"/>
      <c r="L547" s="74"/>
    </row>
    <row r="548" spans="1:12" x14ac:dyDescent="0.3">
      <c r="A548" s="27"/>
      <c r="B548" s="27"/>
      <c r="C548" s="27"/>
      <c r="D548" s="68"/>
      <c r="E548" s="70"/>
      <c r="F548" s="71"/>
      <c r="G548" s="70"/>
      <c r="H548" s="71"/>
      <c r="I548" s="73"/>
      <c r="J548" s="74"/>
      <c r="K548" s="74"/>
      <c r="L548" s="74"/>
    </row>
    <row r="549" spans="1:12" x14ac:dyDescent="0.3">
      <c r="A549" s="27"/>
      <c r="B549" s="27"/>
      <c r="C549" s="27"/>
      <c r="D549" s="68"/>
      <c r="E549" s="70"/>
      <c r="F549" s="71"/>
      <c r="G549" s="70"/>
      <c r="H549" s="71"/>
      <c r="I549" s="73"/>
      <c r="J549" s="74"/>
      <c r="K549" s="74"/>
      <c r="L549" s="74"/>
    </row>
    <row r="550" spans="1:12" x14ac:dyDescent="0.3">
      <c r="A550" s="27"/>
      <c r="B550" s="27"/>
      <c r="C550" s="27"/>
      <c r="D550" s="68"/>
      <c r="E550" s="70"/>
      <c r="F550" s="71"/>
      <c r="G550" s="70"/>
      <c r="H550" s="71"/>
      <c r="I550" s="73"/>
      <c r="J550" s="74"/>
      <c r="K550" s="74"/>
      <c r="L550" s="74"/>
    </row>
    <row r="551" spans="1:12" x14ac:dyDescent="0.3">
      <c r="A551" s="27"/>
      <c r="B551" s="27"/>
      <c r="C551" s="27"/>
      <c r="D551" s="68"/>
      <c r="E551" s="70"/>
      <c r="F551" s="71"/>
      <c r="G551" s="70"/>
      <c r="H551" s="71"/>
      <c r="I551" s="73"/>
      <c r="J551" s="74"/>
      <c r="K551" s="74"/>
      <c r="L551" s="74"/>
    </row>
    <row r="552" spans="1:12" x14ac:dyDescent="0.3">
      <c r="A552" s="27"/>
      <c r="B552" s="27"/>
      <c r="C552" s="27"/>
      <c r="D552" s="68"/>
      <c r="E552" s="70"/>
      <c r="F552" s="71"/>
      <c r="G552" s="70"/>
      <c r="H552" s="71"/>
      <c r="I552" s="73"/>
      <c r="J552" s="74"/>
      <c r="K552" s="74"/>
      <c r="L552" s="74"/>
    </row>
    <row r="553" spans="1:12" x14ac:dyDescent="0.3">
      <c r="A553" s="27"/>
      <c r="B553" s="27"/>
      <c r="C553" s="27"/>
      <c r="D553" s="68"/>
      <c r="E553" s="70"/>
      <c r="F553" s="71"/>
      <c r="G553" s="70"/>
      <c r="H553" s="71"/>
      <c r="I553" s="73"/>
      <c r="J553" s="74"/>
      <c r="K553" s="74"/>
      <c r="L553" s="74"/>
    </row>
    <row r="554" spans="1:12" x14ac:dyDescent="0.3">
      <c r="A554" s="27"/>
      <c r="B554" s="27"/>
      <c r="C554" s="27"/>
      <c r="D554" s="68"/>
      <c r="E554" s="70"/>
      <c r="F554" s="71"/>
      <c r="G554" s="70"/>
      <c r="H554" s="71"/>
      <c r="I554" s="73"/>
      <c r="J554" s="74"/>
      <c r="K554" s="74"/>
      <c r="L554" s="74"/>
    </row>
    <row r="555" spans="1:12" x14ac:dyDescent="0.3">
      <c r="A555" s="27"/>
      <c r="B555" s="27"/>
      <c r="C555" s="27"/>
      <c r="D555" s="68"/>
      <c r="E555" s="70"/>
      <c r="F555" s="71"/>
      <c r="G555" s="70"/>
      <c r="H555" s="71"/>
      <c r="I555" s="73"/>
      <c r="J555" s="74"/>
      <c r="K555" s="74"/>
      <c r="L555" s="74"/>
    </row>
    <row r="556" spans="1:12" x14ac:dyDescent="0.3">
      <c r="A556" s="27"/>
      <c r="B556" s="27"/>
      <c r="C556" s="27"/>
      <c r="D556" s="68"/>
      <c r="E556" s="70"/>
      <c r="F556" s="71"/>
      <c r="G556" s="70"/>
      <c r="H556" s="71"/>
      <c r="I556" s="73"/>
      <c r="J556" s="74"/>
      <c r="K556" s="74"/>
      <c r="L556" s="74"/>
    </row>
    <row r="557" spans="1:12" x14ac:dyDescent="0.3">
      <c r="A557" s="27"/>
      <c r="B557" s="27"/>
      <c r="C557" s="27"/>
      <c r="D557" s="68"/>
      <c r="E557" s="70"/>
      <c r="F557" s="71"/>
      <c r="G557" s="70"/>
      <c r="H557" s="71"/>
      <c r="I557" s="73"/>
      <c r="J557" s="74"/>
      <c r="K557" s="74"/>
      <c r="L557" s="74"/>
    </row>
    <row r="558" spans="1:12" x14ac:dyDescent="0.3">
      <c r="A558" s="27"/>
      <c r="B558" s="27"/>
      <c r="C558" s="27"/>
      <c r="D558" s="68"/>
      <c r="E558" s="70"/>
      <c r="F558" s="71"/>
      <c r="G558" s="70"/>
      <c r="H558" s="71"/>
      <c r="I558" s="73"/>
      <c r="J558" s="74"/>
      <c r="K558" s="74"/>
      <c r="L558" s="74"/>
    </row>
    <row r="559" spans="1:12" x14ac:dyDescent="0.3">
      <c r="A559" s="27"/>
      <c r="B559" s="27"/>
      <c r="C559" s="27"/>
      <c r="D559" s="68"/>
      <c r="E559" s="70"/>
      <c r="F559" s="71"/>
      <c r="G559" s="70"/>
      <c r="H559" s="71"/>
      <c r="I559" s="73"/>
      <c r="J559" s="74"/>
      <c r="K559" s="74"/>
      <c r="L559" s="74"/>
    </row>
    <row r="560" spans="1:12" x14ac:dyDescent="0.3">
      <c r="A560" s="27"/>
      <c r="B560" s="27"/>
      <c r="C560" s="27"/>
      <c r="D560" s="68"/>
      <c r="E560" s="70"/>
      <c r="F560" s="71"/>
      <c r="G560" s="70"/>
      <c r="H560" s="71"/>
      <c r="I560" s="73"/>
      <c r="J560" s="74"/>
      <c r="K560" s="74"/>
      <c r="L560" s="74"/>
    </row>
    <row r="561" spans="1:12" x14ac:dyDescent="0.3">
      <c r="A561" s="27"/>
      <c r="B561" s="27"/>
      <c r="C561" s="27"/>
      <c r="D561" s="68"/>
      <c r="E561" s="70"/>
      <c r="F561" s="71"/>
      <c r="G561" s="70"/>
      <c r="H561" s="71"/>
      <c r="I561" s="73"/>
      <c r="J561" s="74"/>
      <c r="K561" s="74"/>
      <c r="L561" s="74"/>
    </row>
    <row r="562" spans="1:12" x14ac:dyDescent="0.3">
      <c r="A562" s="27"/>
      <c r="B562" s="27"/>
      <c r="C562" s="27"/>
      <c r="D562" s="68"/>
      <c r="E562" s="70"/>
      <c r="F562" s="71"/>
      <c r="G562" s="70"/>
      <c r="H562" s="71"/>
      <c r="I562" s="73"/>
      <c r="J562" s="74"/>
      <c r="K562" s="74"/>
      <c r="L562" s="74"/>
    </row>
    <row r="563" spans="1:12" x14ac:dyDescent="0.3">
      <c r="A563" s="27"/>
      <c r="B563" s="27"/>
      <c r="C563" s="27"/>
      <c r="D563" s="68"/>
      <c r="E563" s="70"/>
      <c r="F563" s="71"/>
      <c r="G563" s="70"/>
      <c r="H563" s="71"/>
      <c r="I563" s="73"/>
      <c r="J563" s="74"/>
      <c r="K563" s="74"/>
      <c r="L563" s="74"/>
    </row>
    <row r="564" spans="1:12" x14ac:dyDescent="0.3">
      <c r="A564" s="27"/>
      <c r="B564" s="27"/>
      <c r="C564" s="27"/>
      <c r="D564" s="68"/>
      <c r="E564" s="70"/>
      <c r="F564" s="71"/>
      <c r="G564" s="70"/>
      <c r="H564" s="71"/>
      <c r="I564" s="73"/>
      <c r="J564" s="74"/>
      <c r="K564" s="74"/>
      <c r="L564" s="74"/>
    </row>
    <row r="565" spans="1:12" x14ac:dyDescent="0.3">
      <c r="A565" s="27"/>
      <c r="B565" s="27"/>
      <c r="C565" s="27"/>
      <c r="D565" s="68"/>
      <c r="E565" s="70"/>
      <c r="F565" s="71"/>
      <c r="G565" s="70"/>
      <c r="H565" s="71"/>
      <c r="I565" s="73"/>
      <c r="J565" s="74"/>
      <c r="K565" s="74"/>
      <c r="L565" s="74"/>
    </row>
    <row r="566" spans="1:12" x14ac:dyDescent="0.3">
      <c r="A566" s="27"/>
      <c r="B566" s="27"/>
      <c r="C566" s="27"/>
      <c r="D566" s="68"/>
      <c r="E566" s="70"/>
      <c r="F566" s="71"/>
      <c r="G566" s="70"/>
      <c r="H566" s="71"/>
      <c r="I566" s="73"/>
      <c r="J566" s="74"/>
      <c r="K566" s="74"/>
      <c r="L566" s="74"/>
    </row>
    <row r="567" spans="1:12" x14ac:dyDescent="0.3">
      <c r="A567" s="27"/>
      <c r="B567" s="27"/>
      <c r="C567" s="27"/>
      <c r="D567" s="68"/>
      <c r="E567" s="70"/>
      <c r="F567" s="71"/>
      <c r="G567" s="70"/>
      <c r="H567" s="71"/>
      <c r="I567" s="73"/>
      <c r="J567" s="74"/>
      <c r="K567" s="74"/>
      <c r="L567" s="74"/>
    </row>
    <row r="568" spans="1:12" x14ac:dyDescent="0.3">
      <c r="A568" s="27"/>
      <c r="B568" s="27"/>
      <c r="C568" s="27"/>
      <c r="D568" s="68"/>
      <c r="E568" s="70"/>
      <c r="F568" s="71"/>
      <c r="G568" s="70"/>
      <c r="H568" s="71"/>
      <c r="I568" s="73"/>
      <c r="J568" s="74"/>
      <c r="K568" s="74"/>
      <c r="L568" s="74"/>
    </row>
    <row r="569" spans="1:12" x14ac:dyDescent="0.3">
      <c r="A569" s="27"/>
      <c r="B569" s="27"/>
      <c r="C569" s="27"/>
      <c r="D569" s="68"/>
      <c r="E569" s="70"/>
      <c r="F569" s="71"/>
      <c r="G569" s="70"/>
      <c r="H569" s="71"/>
      <c r="I569" s="73"/>
      <c r="J569" s="74"/>
      <c r="K569" s="74"/>
      <c r="L569" s="74"/>
    </row>
    <row r="570" spans="1:12" x14ac:dyDescent="0.3">
      <c r="A570" s="27"/>
      <c r="B570" s="27"/>
      <c r="C570" s="27"/>
      <c r="D570" s="68"/>
      <c r="E570" s="70"/>
      <c r="F570" s="71"/>
      <c r="G570" s="70"/>
      <c r="H570" s="71"/>
      <c r="I570" s="73"/>
      <c r="J570" s="74"/>
      <c r="K570" s="74"/>
      <c r="L570" s="74"/>
    </row>
    <row r="571" spans="1:12" x14ac:dyDescent="0.3">
      <c r="A571" s="27"/>
      <c r="B571" s="27"/>
      <c r="C571" s="27"/>
      <c r="D571" s="68"/>
      <c r="E571" s="70"/>
      <c r="F571" s="71"/>
      <c r="G571" s="70"/>
      <c r="H571" s="71"/>
      <c r="I571" s="73"/>
      <c r="J571" s="74"/>
      <c r="K571" s="74"/>
      <c r="L571" s="74"/>
    </row>
    <row r="572" spans="1:12" x14ac:dyDescent="0.3">
      <c r="A572" s="27"/>
      <c r="B572" s="27"/>
      <c r="C572" s="27"/>
      <c r="D572" s="68"/>
      <c r="E572" s="70"/>
      <c r="F572" s="71"/>
      <c r="G572" s="70"/>
      <c r="H572" s="71"/>
      <c r="I572" s="73"/>
      <c r="J572" s="74"/>
      <c r="K572" s="74"/>
      <c r="L572" s="74"/>
    </row>
    <row r="573" spans="1:12" x14ac:dyDescent="0.3">
      <c r="A573" s="27"/>
      <c r="B573" s="27"/>
      <c r="C573" s="27"/>
      <c r="D573" s="68"/>
      <c r="E573" s="70"/>
      <c r="F573" s="71"/>
      <c r="G573" s="70"/>
      <c r="H573" s="71"/>
      <c r="I573" s="73"/>
      <c r="J573" s="74"/>
      <c r="K573" s="74"/>
      <c r="L573" s="74"/>
    </row>
    <row r="574" spans="1:12" x14ac:dyDescent="0.3">
      <c r="A574" s="27"/>
      <c r="B574" s="27"/>
      <c r="C574" s="27"/>
      <c r="D574" s="68"/>
      <c r="E574" s="70"/>
      <c r="F574" s="71"/>
      <c r="G574" s="70"/>
      <c r="H574" s="71"/>
      <c r="I574" s="73"/>
      <c r="J574" s="74"/>
      <c r="K574" s="74"/>
      <c r="L574" s="74"/>
    </row>
    <row r="575" spans="1:12" x14ac:dyDescent="0.3">
      <c r="A575" s="27"/>
      <c r="B575" s="27"/>
      <c r="C575" s="27"/>
      <c r="D575" s="68"/>
      <c r="E575" s="70"/>
      <c r="F575" s="71"/>
      <c r="G575" s="70"/>
      <c r="H575" s="71"/>
      <c r="I575" s="73"/>
      <c r="J575" s="74"/>
      <c r="K575" s="74"/>
      <c r="L575" s="74"/>
    </row>
    <row r="576" spans="1:12" x14ac:dyDescent="0.3">
      <c r="A576" s="27"/>
      <c r="B576" s="27"/>
      <c r="C576" s="27"/>
      <c r="D576" s="68"/>
      <c r="E576" s="70"/>
      <c r="F576" s="71"/>
      <c r="G576" s="70"/>
      <c r="H576" s="71"/>
      <c r="I576" s="73"/>
      <c r="J576" s="74"/>
      <c r="K576" s="74"/>
      <c r="L576" s="74"/>
    </row>
    <row r="577" spans="1:12" x14ac:dyDescent="0.3">
      <c r="A577" s="27"/>
      <c r="B577" s="27"/>
      <c r="C577" s="27"/>
      <c r="D577" s="68"/>
      <c r="E577" s="70"/>
      <c r="F577" s="71"/>
      <c r="G577" s="70"/>
      <c r="H577" s="71"/>
      <c r="I577" s="73"/>
      <c r="J577" s="74"/>
      <c r="K577" s="74"/>
      <c r="L577" s="74"/>
    </row>
    <row r="578" spans="1:12" x14ac:dyDescent="0.3">
      <c r="A578" s="27"/>
      <c r="B578" s="27"/>
      <c r="C578" s="27"/>
      <c r="D578" s="68"/>
      <c r="E578" s="70"/>
      <c r="F578" s="71"/>
      <c r="G578" s="70"/>
      <c r="H578" s="71"/>
      <c r="I578" s="73"/>
      <c r="J578" s="74"/>
      <c r="K578" s="74"/>
      <c r="L578" s="74"/>
    </row>
    <row r="579" spans="1:12" x14ac:dyDescent="0.3">
      <c r="A579" s="27"/>
      <c r="B579" s="27"/>
      <c r="C579" s="27"/>
      <c r="D579" s="68"/>
      <c r="E579" s="70"/>
      <c r="F579" s="71"/>
      <c r="G579" s="70"/>
      <c r="H579" s="71"/>
      <c r="I579" s="73"/>
      <c r="J579" s="74"/>
      <c r="K579" s="74"/>
      <c r="L579" s="74"/>
    </row>
    <row r="580" spans="1:12" x14ac:dyDescent="0.3">
      <c r="A580" s="27"/>
      <c r="B580" s="27"/>
      <c r="C580" s="27"/>
      <c r="D580" s="68"/>
      <c r="E580" s="70"/>
      <c r="F580" s="71"/>
      <c r="G580" s="70"/>
      <c r="H580" s="71"/>
      <c r="I580" s="73"/>
      <c r="J580" s="74"/>
      <c r="K580" s="74"/>
      <c r="L580" s="74"/>
    </row>
    <row r="581" spans="1:12" x14ac:dyDescent="0.3">
      <c r="A581" s="27"/>
      <c r="B581" s="27"/>
      <c r="C581" s="27"/>
      <c r="D581" s="68"/>
      <c r="E581" s="70"/>
      <c r="F581" s="71"/>
      <c r="G581" s="70"/>
      <c r="H581" s="71"/>
      <c r="I581" s="73"/>
      <c r="J581" s="74"/>
      <c r="K581" s="74"/>
      <c r="L581" s="74"/>
    </row>
    <row r="582" spans="1:12" x14ac:dyDescent="0.3">
      <c r="A582" s="27"/>
      <c r="B582" s="27"/>
      <c r="C582" s="27"/>
      <c r="D582" s="68"/>
      <c r="E582" s="70"/>
      <c r="F582" s="71"/>
      <c r="G582" s="70"/>
      <c r="H582" s="71"/>
      <c r="I582" s="73"/>
      <c r="J582" s="74"/>
      <c r="K582" s="74"/>
      <c r="L582" s="74"/>
    </row>
    <row r="583" spans="1:12" x14ac:dyDescent="0.3">
      <c r="A583" s="27"/>
      <c r="B583" s="27"/>
      <c r="C583" s="27"/>
      <c r="D583" s="68"/>
      <c r="E583" s="70"/>
      <c r="F583" s="71"/>
      <c r="G583" s="70"/>
      <c r="H583" s="71"/>
      <c r="I583" s="73"/>
      <c r="J583" s="74"/>
      <c r="K583" s="74"/>
      <c r="L583" s="74"/>
    </row>
    <row r="584" spans="1:12" x14ac:dyDescent="0.3">
      <c r="A584" s="27"/>
      <c r="B584" s="27"/>
      <c r="C584" s="27"/>
      <c r="D584" s="68"/>
      <c r="E584" s="70"/>
      <c r="F584" s="71"/>
      <c r="G584" s="70"/>
      <c r="H584" s="71"/>
      <c r="I584" s="73"/>
      <c r="J584" s="74"/>
      <c r="K584" s="74"/>
      <c r="L584" s="74"/>
    </row>
    <row r="585" spans="1:12" x14ac:dyDescent="0.3">
      <c r="A585" s="27"/>
      <c r="B585" s="27"/>
      <c r="C585" s="27"/>
      <c r="D585" s="68"/>
      <c r="E585" s="70"/>
      <c r="F585" s="71"/>
      <c r="G585" s="70"/>
      <c r="H585" s="71"/>
      <c r="I585" s="73"/>
      <c r="J585" s="74"/>
      <c r="K585" s="74"/>
      <c r="L585" s="74"/>
    </row>
    <row r="586" spans="1:12" x14ac:dyDescent="0.3">
      <c r="A586" s="27"/>
      <c r="B586" s="27"/>
      <c r="C586" s="27"/>
      <c r="D586" s="68"/>
      <c r="E586" s="70"/>
      <c r="F586" s="71"/>
      <c r="G586" s="70"/>
      <c r="H586" s="71"/>
      <c r="I586" s="73"/>
      <c r="J586" s="74"/>
      <c r="K586" s="74"/>
      <c r="L586" s="74"/>
    </row>
    <row r="587" spans="1:12" x14ac:dyDescent="0.3">
      <c r="A587" s="27"/>
      <c r="B587" s="27"/>
      <c r="C587" s="27"/>
      <c r="D587" s="68"/>
      <c r="E587" s="70"/>
      <c r="F587" s="71"/>
      <c r="G587" s="70"/>
      <c r="H587" s="71"/>
      <c r="I587" s="73"/>
      <c r="J587" s="74"/>
      <c r="K587" s="74"/>
      <c r="L587" s="74"/>
    </row>
    <row r="588" spans="1:12" x14ac:dyDescent="0.3">
      <c r="A588" s="27"/>
      <c r="B588" s="27"/>
      <c r="C588" s="27"/>
      <c r="D588" s="68"/>
      <c r="E588" s="70"/>
      <c r="F588" s="71"/>
      <c r="G588" s="70"/>
      <c r="H588" s="71"/>
      <c r="I588" s="73"/>
      <c r="J588" s="74"/>
      <c r="K588" s="74"/>
      <c r="L588" s="74"/>
    </row>
    <row r="589" spans="1:12" x14ac:dyDescent="0.3">
      <c r="A589" s="27"/>
      <c r="B589" s="27"/>
      <c r="C589" s="27"/>
      <c r="D589" s="68"/>
      <c r="E589" s="70"/>
      <c r="F589" s="71"/>
      <c r="G589" s="70"/>
      <c r="H589" s="71"/>
      <c r="I589" s="73"/>
      <c r="J589" s="74"/>
      <c r="K589" s="74"/>
      <c r="L589" s="74"/>
    </row>
    <row r="590" spans="1:12" x14ac:dyDescent="0.3">
      <c r="A590" s="27"/>
      <c r="B590" s="27"/>
      <c r="C590" s="27"/>
      <c r="D590" s="68"/>
      <c r="E590" s="70"/>
      <c r="F590" s="71"/>
      <c r="G590" s="70"/>
      <c r="H590" s="71"/>
      <c r="I590" s="73"/>
      <c r="J590" s="74"/>
      <c r="K590" s="74"/>
      <c r="L590" s="74"/>
    </row>
    <row r="591" spans="1:12" x14ac:dyDescent="0.3">
      <c r="A591" s="27"/>
      <c r="B591" s="27"/>
      <c r="C591" s="27"/>
      <c r="D591" s="68"/>
      <c r="E591" s="70"/>
      <c r="F591" s="71"/>
      <c r="G591" s="70"/>
      <c r="H591" s="71"/>
      <c r="I591" s="73"/>
      <c r="J591" s="74"/>
      <c r="K591" s="74"/>
      <c r="L591" s="74"/>
    </row>
    <row r="592" spans="1:12" x14ac:dyDescent="0.3">
      <c r="A592" s="27"/>
      <c r="B592" s="27"/>
      <c r="C592" s="27"/>
      <c r="D592" s="68"/>
      <c r="E592" s="70"/>
      <c r="F592" s="71"/>
      <c r="G592" s="70"/>
      <c r="H592" s="71"/>
      <c r="I592" s="73"/>
      <c r="J592" s="74"/>
      <c r="K592" s="74"/>
      <c r="L592" s="74"/>
    </row>
    <row r="593" spans="1:12" x14ac:dyDescent="0.3">
      <c r="A593" s="27"/>
      <c r="B593" s="27"/>
      <c r="C593" s="27"/>
      <c r="D593" s="68"/>
      <c r="E593" s="70"/>
      <c r="F593" s="71"/>
      <c r="G593" s="70"/>
      <c r="H593" s="71"/>
      <c r="I593" s="73"/>
      <c r="J593" s="74"/>
      <c r="K593" s="74"/>
      <c r="L593" s="74"/>
    </row>
    <row r="594" spans="1:12" x14ac:dyDescent="0.3">
      <c r="A594" s="27"/>
      <c r="B594" s="27"/>
      <c r="C594" s="27"/>
      <c r="D594" s="68"/>
      <c r="E594" s="70"/>
      <c r="F594" s="71"/>
      <c r="G594" s="70"/>
      <c r="H594" s="71"/>
      <c r="I594" s="73"/>
      <c r="J594" s="74"/>
      <c r="K594" s="74"/>
      <c r="L594" s="74"/>
    </row>
    <row r="595" spans="1:12" x14ac:dyDescent="0.3">
      <c r="A595" s="27"/>
      <c r="B595" s="27"/>
      <c r="C595" s="27"/>
      <c r="D595" s="68"/>
      <c r="E595" s="70"/>
      <c r="F595" s="71"/>
      <c r="G595" s="70"/>
      <c r="H595" s="71"/>
      <c r="I595" s="73"/>
      <c r="J595" s="74"/>
      <c r="K595" s="74"/>
      <c r="L595" s="74"/>
    </row>
    <row r="596" spans="1:12" x14ac:dyDescent="0.3">
      <c r="A596" s="27"/>
      <c r="B596" s="27"/>
      <c r="C596" s="27"/>
      <c r="D596" s="68"/>
      <c r="E596" s="70"/>
      <c r="F596" s="71"/>
      <c r="G596" s="70"/>
      <c r="H596" s="71"/>
      <c r="I596" s="73"/>
      <c r="J596" s="74"/>
      <c r="K596" s="74"/>
      <c r="L596" s="74"/>
    </row>
    <row r="597" spans="1:12" x14ac:dyDescent="0.3">
      <c r="A597" s="27"/>
      <c r="B597" s="27"/>
      <c r="C597" s="27"/>
      <c r="D597" s="68"/>
      <c r="E597" s="70"/>
      <c r="F597" s="71"/>
      <c r="G597" s="70"/>
      <c r="H597" s="71"/>
      <c r="I597" s="73"/>
      <c r="J597" s="74"/>
      <c r="K597" s="74"/>
      <c r="L597" s="74"/>
    </row>
    <row r="598" spans="1:12" x14ac:dyDescent="0.3">
      <c r="A598" s="27"/>
      <c r="B598" s="27"/>
      <c r="C598" s="27"/>
      <c r="D598" s="68"/>
      <c r="E598" s="70"/>
      <c r="F598" s="71"/>
      <c r="G598" s="70"/>
      <c r="H598" s="71"/>
      <c r="I598" s="73"/>
      <c r="J598" s="74"/>
      <c r="K598" s="74"/>
      <c r="L598" s="74"/>
    </row>
    <row r="599" spans="1:12" x14ac:dyDescent="0.3">
      <c r="A599" s="27"/>
      <c r="B599" s="27"/>
      <c r="C599" s="27"/>
      <c r="D599" s="68"/>
      <c r="E599" s="70"/>
      <c r="F599" s="71"/>
      <c r="G599" s="70"/>
      <c r="H599" s="71"/>
      <c r="I599" s="73"/>
      <c r="J599" s="74"/>
      <c r="K599" s="74"/>
      <c r="L599" s="74"/>
    </row>
    <row r="600" spans="1:12" x14ac:dyDescent="0.3">
      <c r="A600" s="27"/>
      <c r="B600" s="27"/>
      <c r="C600" s="27"/>
      <c r="D600" s="68"/>
      <c r="E600" s="70"/>
      <c r="F600" s="71"/>
      <c r="G600" s="70"/>
      <c r="H600" s="71"/>
      <c r="I600" s="73"/>
      <c r="J600" s="74"/>
      <c r="K600" s="74"/>
      <c r="L600" s="74"/>
    </row>
    <row r="601" spans="1:12" x14ac:dyDescent="0.3">
      <c r="A601" s="27"/>
      <c r="B601" s="27"/>
      <c r="C601" s="27"/>
      <c r="D601" s="68"/>
      <c r="E601" s="70"/>
      <c r="F601" s="71"/>
      <c r="G601" s="70"/>
      <c r="H601" s="71"/>
      <c r="I601" s="73"/>
      <c r="J601" s="74"/>
      <c r="K601" s="74"/>
      <c r="L601" s="74"/>
    </row>
    <row r="602" spans="1:12" x14ac:dyDescent="0.3">
      <c r="A602" s="27"/>
      <c r="B602" s="27"/>
      <c r="C602" s="27"/>
      <c r="D602" s="68"/>
      <c r="E602" s="70"/>
      <c r="F602" s="71"/>
      <c r="G602" s="70"/>
      <c r="H602" s="71"/>
      <c r="I602" s="73"/>
      <c r="J602" s="74"/>
      <c r="K602" s="74"/>
      <c r="L602" s="74"/>
    </row>
    <row r="603" spans="1:12" x14ac:dyDescent="0.3">
      <c r="A603" s="27"/>
      <c r="B603" s="27"/>
      <c r="C603" s="27"/>
      <c r="D603" s="68"/>
      <c r="E603" s="70"/>
      <c r="F603" s="71"/>
      <c r="G603" s="70"/>
      <c r="H603" s="71"/>
      <c r="I603" s="73"/>
      <c r="J603" s="74"/>
      <c r="K603" s="74"/>
      <c r="L603" s="74"/>
    </row>
    <row r="604" spans="1:12" x14ac:dyDescent="0.3">
      <c r="A604" s="27"/>
      <c r="B604" s="27"/>
      <c r="C604" s="27"/>
      <c r="D604" s="68"/>
      <c r="E604" s="70"/>
      <c r="F604" s="71"/>
      <c r="G604" s="70"/>
      <c r="H604" s="71"/>
      <c r="I604" s="73"/>
      <c r="J604" s="74"/>
      <c r="K604" s="74"/>
      <c r="L604" s="74"/>
    </row>
    <row r="605" spans="1:12" x14ac:dyDescent="0.3">
      <c r="A605" s="27"/>
      <c r="B605" s="27"/>
      <c r="C605" s="27"/>
      <c r="D605" s="68"/>
      <c r="E605" s="70"/>
      <c r="F605" s="71"/>
      <c r="G605" s="70"/>
      <c r="H605" s="71"/>
      <c r="I605" s="73"/>
      <c r="J605" s="74"/>
      <c r="K605" s="74"/>
      <c r="L605" s="74"/>
    </row>
    <row r="606" spans="1:12" x14ac:dyDescent="0.3">
      <c r="A606" s="27"/>
      <c r="B606" s="27"/>
      <c r="C606" s="27"/>
      <c r="D606" s="68"/>
      <c r="E606" s="70"/>
      <c r="F606" s="71"/>
      <c r="G606" s="70"/>
      <c r="H606" s="71"/>
      <c r="I606" s="73"/>
      <c r="J606" s="74"/>
      <c r="K606" s="74"/>
      <c r="L606" s="74"/>
    </row>
    <row r="607" spans="1:12" x14ac:dyDescent="0.3">
      <c r="A607" s="27"/>
      <c r="B607" s="27"/>
      <c r="C607" s="27"/>
      <c r="D607" s="68"/>
      <c r="E607" s="70"/>
      <c r="F607" s="71"/>
      <c r="G607" s="70"/>
      <c r="H607" s="71"/>
      <c r="I607" s="73"/>
      <c r="J607" s="74"/>
      <c r="K607" s="74"/>
      <c r="L607" s="74"/>
    </row>
    <row r="608" spans="1:12" x14ac:dyDescent="0.3">
      <c r="A608" s="27"/>
      <c r="B608" s="27"/>
      <c r="C608" s="27"/>
      <c r="D608" s="68"/>
      <c r="E608" s="70"/>
      <c r="F608" s="71"/>
      <c r="G608" s="70"/>
      <c r="H608" s="71"/>
      <c r="I608" s="73"/>
      <c r="J608" s="74"/>
      <c r="K608" s="74"/>
      <c r="L608" s="74"/>
    </row>
    <row r="609" spans="1:12" x14ac:dyDescent="0.3">
      <c r="A609" s="27"/>
      <c r="B609" s="27"/>
      <c r="C609" s="27"/>
      <c r="D609" s="68"/>
      <c r="E609" s="70"/>
      <c r="F609" s="71"/>
      <c r="G609" s="70"/>
      <c r="H609" s="71"/>
      <c r="I609" s="73"/>
      <c r="J609" s="74"/>
      <c r="K609" s="74"/>
      <c r="L609" s="74"/>
    </row>
    <row r="610" spans="1:12" x14ac:dyDescent="0.3">
      <c r="A610" s="27"/>
      <c r="B610" s="27"/>
      <c r="C610" s="27"/>
      <c r="D610" s="68"/>
      <c r="E610" s="70"/>
      <c r="F610" s="71"/>
      <c r="G610" s="70"/>
      <c r="H610" s="71"/>
      <c r="I610" s="73"/>
      <c r="J610" s="74"/>
      <c r="K610" s="74"/>
      <c r="L610" s="74"/>
    </row>
    <row r="611" spans="1:12" x14ac:dyDescent="0.3">
      <c r="A611" s="27"/>
      <c r="B611" s="27"/>
      <c r="C611" s="27"/>
      <c r="D611" s="68"/>
      <c r="E611" s="70"/>
      <c r="F611" s="71"/>
      <c r="G611" s="70"/>
      <c r="H611" s="71"/>
      <c r="I611" s="73"/>
      <c r="J611" s="74"/>
      <c r="K611" s="74"/>
      <c r="L611" s="74"/>
    </row>
    <row r="612" spans="1:12" x14ac:dyDescent="0.3">
      <c r="A612" s="27"/>
      <c r="B612" s="27"/>
      <c r="C612" s="27"/>
      <c r="D612" s="68"/>
      <c r="E612" s="70"/>
      <c r="F612" s="71"/>
      <c r="G612" s="70"/>
      <c r="H612" s="71"/>
      <c r="I612" s="73"/>
      <c r="J612" s="74"/>
      <c r="K612" s="74"/>
      <c r="L612" s="74"/>
    </row>
    <row r="613" spans="1:12" x14ac:dyDescent="0.3">
      <c r="A613" s="27"/>
      <c r="B613" s="27"/>
      <c r="C613" s="27"/>
      <c r="D613" s="68"/>
      <c r="E613" s="70"/>
      <c r="F613" s="71"/>
      <c r="G613" s="70"/>
      <c r="H613" s="71"/>
      <c r="I613" s="73"/>
      <c r="J613" s="74"/>
      <c r="K613" s="74"/>
      <c r="L613" s="74"/>
    </row>
    <row r="614" spans="1:12" x14ac:dyDescent="0.3">
      <c r="A614" s="27"/>
      <c r="B614" s="27"/>
      <c r="C614" s="27"/>
      <c r="D614" s="68"/>
      <c r="E614" s="70"/>
      <c r="F614" s="71"/>
      <c r="G614" s="70"/>
      <c r="H614" s="71"/>
      <c r="I614" s="73"/>
      <c r="J614" s="74"/>
      <c r="K614" s="74"/>
      <c r="L614" s="74"/>
    </row>
    <row r="615" spans="1:12" x14ac:dyDescent="0.3">
      <c r="A615" s="27"/>
      <c r="B615" s="27"/>
      <c r="C615" s="27"/>
      <c r="D615" s="68"/>
      <c r="E615" s="70"/>
      <c r="F615" s="71"/>
      <c r="G615" s="70"/>
      <c r="H615" s="71"/>
      <c r="I615" s="73"/>
      <c r="J615" s="74"/>
      <c r="K615" s="74"/>
      <c r="L615" s="74"/>
    </row>
    <row r="616" spans="1:12" x14ac:dyDescent="0.3">
      <c r="A616" s="27"/>
      <c r="B616" s="27"/>
      <c r="C616" s="27"/>
      <c r="D616" s="68"/>
      <c r="E616" s="70"/>
      <c r="F616" s="71"/>
      <c r="G616" s="70"/>
      <c r="H616" s="71"/>
      <c r="I616" s="73"/>
      <c r="J616" s="74"/>
      <c r="K616" s="74"/>
      <c r="L616" s="74"/>
    </row>
    <row r="617" spans="1:12" x14ac:dyDescent="0.3">
      <c r="A617" s="27"/>
      <c r="B617" s="27"/>
      <c r="C617" s="27"/>
      <c r="D617" s="68"/>
      <c r="E617" s="70"/>
      <c r="F617" s="71"/>
      <c r="G617" s="70"/>
      <c r="H617" s="71"/>
      <c r="I617" s="73"/>
      <c r="J617" s="74"/>
      <c r="K617" s="74"/>
      <c r="L617" s="74"/>
    </row>
    <row r="618" spans="1:12" x14ac:dyDescent="0.3">
      <c r="A618" s="27"/>
      <c r="B618" s="27"/>
      <c r="C618" s="27"/>
      <c r="D618" s="68"/>
      <c r="E618" s="70"/>
      <c r="F618" s="71"/>
      <c r="G618" s="70"/>
      <c r="H618" s="71"/>
      <c r="I618" s="73"/>
      <c r="J618" s="74"/>
      <c r="K618" s="74"/>
      <c r="L618" s="74"/>
    </row>
    <row r="619" spans="1:12" x14ac:dyDescent="0.3">
      <c r="A619" s="27"/>
      <c r="B619" s="27"/>
      <c r="C619" s="27"/>
      <c r="D619" s="68"/>
      <c r="E619" s="70"/>
      <c r="F619" s="71"/>
      <c r="G619" s="70"/>
      <c r="H619" s="71"/>
      <c r="I619" s="73"/>
      <c r="J619" s="74"/>
      <c r="K619" s="74"/>
      <c r="L619" s="74"/>
    </row>
    <row r="620" spans="1:12" x14ac:dyDescent="0.3">
      <c r="A620" s="27"/>
      <c r="B620" s="27"/>
      <c r="C620" s="27"/>
      <c r="D620" s="68"/>
      <c r="E620" s="70"/>
      <c r="F620" s="71"/>
      <c r="G620" s="70"/>
      <c r="H620" s="71"/>
      <c r="I620" s="73"/>
      <c r="J620" s="74"/>
      <c r="K620" s="74"/>
      <c r="L620" s="74"/>
    </row>
    <row r="621" spans="1:12" x14ac:dyDescent="0.3">
      <c r="A621" s="27"/>
      <c r="B621" s="27"/>
      <c r="C621" s="27"/>
      <c r="D621" s="68"/>
      <c r="E621" s="70"/>
      <c r="F621" s="71"/>
      <c r="G621" s="70"/>
      <c r="H621" s="71"/>
      <c r="I621" s="73"/>
      <c r="J621" s="74"/>
      <c r="K621" s="74"/>
      <c r="L621" s="74"/>
    </row>
    <row r="622" spans="1:12" x14ac:dyDescent="0.3">
      <c r="A622" s="27"/>
      <c r="B622" s="27"/>
      <c r="C622" s="27"/>
      <c r="D622" s="68"/>
      <c r="E622" s="70"/>
      <c r="F622" s="71"/>
      <c r="G622" s="70"/>
      <c r="H622" s="71"/>
      <c r="I622" s="73"/>
      <c r="J622" s="74"/>
      <c r="K622" s="74"/>
      <c r="L622" s="74"/>
    </row>
    <row r="623" spans="1:12" x14ac:dyDescent="0.3">
      <c r="A623" s="27"/>
      <c r="B623" s="27"/>
      <c r="C623" s="27"/>
      <c r="D623" s="68"/>
      <c r="E623" s="70"/>
      <c r="F623" s="71"/>
      <c r="G623" s="70"/>
      <c r="H623" s="71"/>
      <c r="I623" s="73"/>
      <c r="J623" s="74"/>
      <c r="K623" s="74"/>
      <c r="L623" s="74"/>
    </row>
    <row r="624" spans="1:12" x14ac:dyDescent="0.3">
      <c r="A624" s="27"/>
      <c r="B624" s="27"/>
      <c r="C624" s="27"/>
      <c r="D624" s="68"/>
      <c r="E624" s="70"/>
      <c r="F624" s="71"/>
      <c r="G624" s="70"/>
      <c r="H624" s="71"/>
      <c r="I624" s="73"/>
      <c r="J624" s="74"/>
      <c r="K624" s="74"/>
      <c r="L624" s="74"/>
    </row>
    <row r="625" spans="1:12" x14ac:dyDescent="0.3">
      <c r="A625" s="27"/>
      <c r="B625" s="27"/>
      <c r="C625" s="27"/>
      <c r="D625" s="68"/>
      <c r="E625" s="70"/>
      <c r="F625" s="71"/>
      <c r="G625" s="70"/>
      <c r="H625" s="71"/>
      <c r="I625" s="73"/>
      <c r="J625" s="74"/>
      <c r="K625" s="74"/>
      <c r="L625" s="74"/>
    </row>
    <row r="626" spans="1:12" x14ac:dyDescent="0.3">
      <c r="A626" s="27"/>
      <c r="B626" s="27"/>
      <c r="C626" s="27"/>
      <c r="D626" s="68"/>
      <c r="E626" s="70"/>
      <c r="F626" s="71"/>
      <c r="G626" s="70"/>
      <c r="H626" s="71"/>
      <c r="I626" s="73"/>
      <c r="J626" s="74"/>
      <c r="K626" s="74"/>
      <c r="L626" s="74"/>
    </row>
    <row r="627" spans="1:12" x14ac:dyDescent="0.3">
      <c r="A627" s="27"/>
      <c r="B627" s="27"/>
      <c r="C627" s="27"/>
      <c r="D627" s="68"/>
      <c r="E627" s="70"/>
      <c r="F627" s="71"/>
      <c r="G627" s="70"/>
      <c r="H627" s="71"/>
      <c r="I627" s="73"/>
      <c r="J627" s="74"/>
      <c r="K627" s="74"/>
      <c r="L627" s="74"/>
    </row>
    <row r="628" spans="1:12" x14ac:dyDescent="0.3">
      <c r="A628" s="27"/>
      <c r="B628" s="27"/>
      <c r="C628" s="27"/>
      <c r="D628" s="68"/>
      <c r="E628" s="70"/>
      <c r="F628" s="71"/>
      <c r="G628" s="70"/>
      <c r="H628" s="71"/>
      <c r="I628" s="73"/>
      <c r="J628" s="74"/>
      <c r="K628" s="74"/>
      <c r="L628" s="74"/>
    </row>
    <row r="629" spans="1:12" x14ac:dyDescent="0.3">
      <c r="A629" s="27"/>
      <c r="B629" s="27"/>
      <c r="C629" s="27"/>
      <c r="D629" s="68"/>
      <c r="E629" s="70"/>
      <c r="F629" s="71"/>
      <c r="G629" s="70"/>
      <c r="H629" s="71"/>
      <c r="I629" s="73"/>
      <c r="J629" s="74"/>
      <c r="K629" s="74"/>
      <c r="L629" s="74"/>
    </row>
    <row r="630" spans="1:12" x14ac:dyDescent="0.3">
      <c r="A630" s="27"/>
      <c r="B630" s="27"/>
      <c r="C630" s="27"/>
      <c r="D630" s="68"/>
      <c r="E630" s="70"/>
      <c r="F630" s="71"/>
      <c r="G630" s="70"/>
      <c r="H630" s="71"/>
      <c r="I630" s="73"/>
      <c r="J630" s="74"/>
      <c r="K630" s="74"/>
      <c r="L630" s="74"/>
    </row>
    <row r="631" spans="1:12" x14ac:dyDescent="0.3">
      <c r="A631" s="27"/>
      <c r="B631" s="27"/>
      <c r="C631" s="27"/>
      <c r="D631" s="68"/>
      <c r="E631" s="70"/>
      <c r="F631" s="71"/>
      <c r="G631" s="70"/>
      <c r="H631" s="71"/>
      <c r="I631" s="73"/>
      <c r="J631" s="74"/>
      <c r="K631" s="74"/>
      <c r="L631" s="74"/>
    </row>
    <row r="632" spans="1:12" x14ac:dyDescent="0.3">
      <c r="A632" s="27"/>
      <c r="B632" s="27"/>
      <c r="C632" s="27"/>
      <c r="D632" s="68"/>
      <c r="E632" s="70"/>
      <c r="F632" s="71"/>
      <c r="G632" s="70"/>
      <c r="H632" s="71"/>
      <c r="I632" s="73"/>
      <c r="J632" s="74"/>
      <c r="K632" s="74"/>
      <c r="L632" s="74"/>
    </row>
    <row r="633" spans="1:12" x14ac:dyDescent="0.3">
      <c r="A633" s="27"/>
      <c r="B633" s="27"/>
      <c r="C633" s="27"/>
      <c r="D633" s="68"/>
      <c r="E633" s="70"/>
      <c r="F633" s="71"/>
      <c r="G633" s="70"/>
      <c r="H633" s="71"/>
      <c r="I633" s="73"/>
      <c r="J633" s="74"/>
      <c r="K633" s="74"/>
      <c r="L633" s="74"/>
    </row>
    <row r="634" spans="1:12" x14ac:dyDescent="0.3">
      <c r="A634" s="27"/>
      <c r="B634" s="27"/>
      <c r="C634" s="27"/>
      <c r="D634" s="68"/>
      <c r="E634" s="70"/>
      <c r="F634" s="71"/>
      <c r="G634" s="70"/>
      <c r="H634" s="71"/>
      <c r="I634" s="73"/>
      <c r="J634" s="74"/>
      <c r="K634" s="74"/>
      <c r="L634" s="74"/>
    </row>
    <row r="635" spans="1:12" x14ac:dyDescent="0.3">
      <c r="A635" s="27"/>
      <c r="B635" s="27"/>
      <c r="C635" s="27"/>
      <c r="D635" s="68"/>
      <c r="E635" s="70"/>
      <c r="F635" s="71"/>
      <c r="G635" s="70"/>
      <c r="H635" s="71"/>
      <c r="I635" s="73"/>
      <c r="J635" s="74"/>
      <c r="K635" s="74"/>
      <c r="L635" s="74"/>
    </row>
    <row r="636" spans="1:12" x14ac:dyDescent="0.3">
      <c r="A636" s="27"/>
      <c r="B636" s="27"/>
      <c r="C636" s="27"/>
      <c r="D636" s="68"/>
      <c r="E636" s="70"/>
      <c r="F636" s="71"/>
      <c r="G636" s="70"/>
      <c r="H636" s="71"/>
      <c r="I636" s="73"/>
      <c r="J636" s="74"/>
      <c r="K636" s="74"/>
      <c r="L636" s="74"/>
    </row>
    <row r="637" spans="1:12" x14ac:dyDescent="0.3">
      <c r="A637" s="27"/>
      <c r="B637" s="27"/>
      <c r="C637" s="27"/>
      <c r="D637" s="68"/>
      <c r="E637" s="70"/>
      <c r="F637" s="71"/>
      <c r="G637" s="70"/>
      <c r="H637" s="71"/>
      <c r="I637" s="73"/>
      <c r="J637" s="74"/>
      <c r="K637" s="74"/>
      <c r="L637" s="74"/>
    </row>
    <row r="638" spans="1:12" x14ac:dyDescent="0.3">
      <c r="A638" s="27"/>
      <c r="B638" s="27"/>
      <c r="C638" s="27"/>
      <c r="D638" s="68"/>
      <c r="E638" s="70"/>
      <c r="F638" s="71"/>
      <c r="G638" s="70"/>
      <c r="H638" s="71"/>
      <c r="I638" s="73"/>
      <c r="J638" s="74"/>
      <c r="K638" s="74"/>
      <c r="L638" s="74"/>
    </row>
    <row r="639" spans="1:12" x14ac:dyDescent="0.3">
      <c r="A639" s="27"/>
      <c r="B639" s="27"/>
      <c r="C639" s="27"/>
      <c r="D639" s="68"/>
      <c r="E639" s="70"/>
      <c r="F639" s="71"/>
      <c r="G639" s="70"/>
      <c r="H639" s="71"/>
      <c r="I639" s="73"/>
      <c r="J639" s="74"/>
      <c r="K639" s="74"/>
      <c r="L639" s="74"/>
    </row>
    <row r="640" spans="1:12" x14ac:dyDescent="0.3">
      <c r="A640" s="27"/>
      <c r="B640" s="27"/>
      <c r="C640" s="27"/>
      <c r="D640" s="68"/>
      <c r="E640" s="70"/>
      <c r="F640" s="71"/>
      <c r="G640" s="70"/>
      <c r="H640" s="71"/>
      <c r="I640" s="73"/>
      <c r="J640" s="74"/>
      <c r="K640" s="74"/>
      <c r="L640" s="74"/>
    </row>
    <row r="641" spans="1:12" x14ac:dyDescent="0.3">
      <c r="A641" s="27"/>
      <c r="B641" s="27"/>
      <c r="C641" s="27"/>
      <c r="D641" s="68"/>
      <c r="E641" s="70"/>
      <c r="F641" s="71"/>
      <c r="G641" s="70"/>
      <c r="H641" s="71"/>
      <c r="I641" s="73"/>
      <c r="J641" s="74"/>
      <c r="K641" s="74"/>
      <c r="L641" s="74"/>
    </row>
    <row r="642" spans="1:12" x14ac:dyDescent="0.3">
      <c r="A642" s="27"/>
      <c r="B642" s="27"/>
      <c r="C642" s="27"/>
      <c r="D642" s="68"/>
      <c r="E642" s="70"/>
      <c r="F642" s="71"/>
      <c r="G642" s="70"/>
      <c r="H642" s="71"/>
      <c r="I642" s="73"/>
      <c r="J642" s="74"/>
      <c r="K642" s="74"/>
      <c r="L642" s="74"/>
    </row>
    <row r="643" spans="1:12" x14ac:dyDescent="0.3">
      <c r="A643" s="27"/>
      <c r="B643" s="27"/>
      <c r="C643" s="27"/>
      <c r="D643" s="68"/>
      <c r="E643" s="70"/>
      <c r="F643" s="71"/>
      <c r="G643" s="70"/>
      <c r="H643" s="71"/>
      <c r="I643" s="73"/>
      <c r="J643" s="74"/>
      <c r="K643" s="74"/>
      <c r="L643" s="74"/>
    </row>
    <row r="644" spans="1:12" x14ac:dyDescent="0.3">
      <c r="A644" s="27"/>
      <c r="B644" s="27"/>
      <c r="C644" s="27"/>
      <c r="D644" s="68"/>
      <c r="E644" s="70"/>
      <c r="F644" s="71"/>
      <c r="G644" s="70"/>
      <c r="H644" s="71"/>
      <c r="I644" s="73"/>
      <c r="J644" s="74"/>
      <c r="K644" s="74"/>
      <c r="L644" s="74"/>
    </row>
    <row r="645" spans="1:12" x14ac:dyDescent="0.3">
      <c r="A645" s="27"/>
      <c r="B645" s="27"/>
      <c r="C645" s="27"/>
      <c r="D645" s="68"/>
      <c r="E645" s="70"/>
      <c r="F645" s="71"/>
      <c r="G645" s="70"/>
      <c r="H645" s="71"/>
      <c r="I645" s="73"/>
      <c r="J645" s="74"/>
      <c r="K645" s="74"/>
      <c r="L645" s="74"/>
    </row>
    <row r="646" spans="1:12" x14ac:dyDescent="0.3">
      <c r="A646" s="27"/>
      <c r="B646" s="27"/>
      <c r="C646" s="27"/>
      <c r="D646" s="68"/>
      <c r="E646" s="70"/>
      <c r="F646" s="71"/>
      <c r="G646" s="70"/>
      <c r="H646" s="71"/>
      <c r="I646" s="73"/>
      <c r="J646" s="74"/>
      <c r="K646" s="74"/>
      <c r="L646" s="74"/>
    </row>
    <row r="647" spans="1:12" x14ac:dyDescent="0.3">
      <c r="A647" s="27"/>
      <c r="B647" s="27"/>
      <c r="C647" s="27"/>
      <c r="D647" s="68"/>
      <c r="E647" s="70"/>
      <c r="F647" s="71"/>
      <c r="G647" s="70"/>
      <c r="H647" s="71"/>
      <c r="I647" s="73"/>
      <c r="J647" s="74"/>
      <c r="K647" s="74"/>
      <c r="L647" s="74"/>
    </row>
    <row r="648" spans="1:12" x14ac:dyDescent="0.3">
      <c r="A648" s="27"/>
      <c r="B648" s="27"/>
      <c r="C648" s="27"/>
      <c r="D648" s="68"/>
      <c r="E648" s="70"/>
      <c r="F648" s="71"/>
      <c r="G648" s="70"/>
      <c r="H648" s="71"/>
      <c r="I648" s="73"/>
      <c r="J648" s="74"/>
      <c r="K648" s="74"/>
      <c r="L648" s="74"/>
    </row>
    <row r="649" spans="1:12" x14ac:dyDescent="0.3">
      <c r="A649" s="27"/>
      <c r="B649" s="27"/>
      <c r="C649" s="27"/>
      <c r="D649" s="68"/>
      <c r="E649" s="70"/>
      <c r="F649" s="71"/>
      <c r="G649" s="70"/>
      <c r="H649" s="71"/>
      <c r="I649" s="73"/>
      <c r="J649" s="74"/>
      <c r="K649" s="74"/>
      <c r="L649" s="74"/>
    </row>
    <row r="650" spans="1:12" x14ac:dyDescent="0.3">
      <c r="A650" s="27"/>
      <c r="B650" s="27"/>
      <c r="C650" s="27"/>
      <c r="D650" s="68"/>
      <c r="E650" s="70"/>
      <c r="F650" s="71"/>
      <c r="G650" s="70"/>
      <c r="H650" s="71"/>
      <c r="I650" s="73"/>
      <c r="J650" s="74"/>
      <c r="K650" s="74"/>
      <c r="L650" s="74"/>
    </row>
    <row r="651" spans="1:12" x14ac:dyDescent="0.3">
      <c r="A651" s="27"/>
      <c r="B651" s="27"/>
      <c r="C651" s="27"/>
      <c r="D651" s="68"/>
      <c r="E651" s="70"/>
      <c r="F651" s="71"/>
      <c r="G651" s="70"/>
      <c r="H651" s="71"/>
      <c r="I651" s="73"/>
      <c r="J651" s="74"/>
      <c r="K651" s="74"/>
      <c r="L651" s="74"/>
    </row>
    <row r="652" spans="1:12" x14ac:dyDescent="0.3">
      <c r="A652" s="27"/>
      <c r="B652" s="27"/>
      <c r="C652" s="27"/>
      <c r="D652" s="68"/>
      <c r="E652" s="70"/>
      <c r="F652" s="71"/>
      <c r="G652" s="70"/>
      <c r="H652" s="71"/>
      <c r="I652" s="73"/>
      <c r="J652" s="74"/>
      <c r="K652" s="74"/>
      <c r="L652" s="74"/>
    </row>
    <row r="653" spans="1:12" x14ac:dyDescent="0.3">
      <c r="A653" s="27"/>
      <c r="B653" s="27"/>
      <c r="C653" s="27"/>
      <c r="D653" s="68"/>
      <c r="E653" s="70"/>
      <c r="F653" s="71"/>
      <c r="G653" s="70"/>
      <c r="H653" s="71"/>
      <c r="I653" s="73"/>
      <c r="J653" s="74"/>
      <c r="K653" s="74"/>
      <c r="L653" s="74"/>
    </row>
    <row r="654" spans="1:12" x14ac:dyDescent="0.3">
      <c r="A654" s="27"/>
      <c r="B654" s="27"/>
      <c r="C654" s="27"/>
      <c r="D654" s="68"/>
      <c r="E654" s="70"/>
      <c r="F654" s="71"/>
      <c r="G654" s="70"/>
      <c r="H654" s="71"/>
      <c r="I654" s="73"/>
      <c r="J654" s="74"/>
      <c r="K654" s="74"/>
      <c r="L654" s="74"/>
    </row>
    <row r="655" spans="1:12" x14ac:dyDescent="0.3">
      <c r="A655" s="27"/>
      <c r="B655" s="27"/>
      <c r="C655" s="27"/>
      <c r="D655" s="68"/>
      <c r="E655" s="70"/>
      <c r="F655" s="71"/>
      <c r="G655" s="70"/>
      <c r="H655" s="71"/>
      <c r="I655" s="73"/>
      <c r="J655" s="74"/>
      <c r="K655" s="74"/>
      <c r="L655" s="74"/>
    </row>
    <row r="656" spans="1:12" x14ac:dyDescent="0.3">
      <c r="A656" s="27"/>
      <c r="B656" s="27"/>
      <c r="C656" s="27"/>
      <c r="D656" s="68"/>
      <c r="E656" s="70"/>
      <c r="F656" s="71"/>
      <c r="G656" s="70"/>
      <c r="H656" s="71"/>
      <c r="I656" s="73"/>
      <c r="J656" s="74"/>
      <c r="K656" s="74"/>
      <c r="L656" s="74"/>
    </row>
    <row r="657" spans="1:12" x14ac:dyDescent="0.3">
      <c r="A657" s="27"/>
      <c r="B657" s="27"/>
      <c r="C657" s="27"/>
      <c r="D657" s="68"/>
      <c r="E657" s="70"/>
      <c r="F657" s="71"/>
      <c r="G657" s="70"/>
      <c r="H657" s="71"/>
      <c r="I657" s="73"/>
      <c r="J657" s="74"/>
      <c r="K657" s="74"/>
      <c r="L657" s="74"/>
    </row>
    <row r="658" spans="1:12" x14ac:dyDescent="0.3">
      <c r="A658" s="27"/>
      <c r="B658" s="27"/>
      <c r="C658" s="27"/>
      <c r="D658" s="68"/>
      <c r="E658" s="70"/>
      <c r="F658" s="71"/>
      <c r="G658" s="70"/>
      <c r="H658" s="71"/>
      <c r="I658" s="73"/>
      <c r="J658" s="74"/>
      <c r="K658" s="74"/>
      <c r="L658" s="74"/>
    </row>
    <row r="659" spans="1:12" x14ac:dyDescent="0.3">
      <c r="A659" s="27"/>
      <c r="B659" s="27"/>
      <c r="C659" s="27"/>
      <c r="D659" s="68"/>
      <c r="E659" s="70"/>
      <c r="F659" s="71"/>
      <c r="G659" s="70"/>
      <c r="H659" s="71"/>
      <c r="I659" s="73"/>
      <c r="J659" s="74"/>
      <c r="K659" s="74"/>
      <c r="L659" s="74"/>
    </row>
    <row r="660" spans="1:12" x14ac:dyDescent="0.3">
      <c r="A660" s="27"/>
      <c r="B660" s="27"/>
      <c r="C660" s="27"/>
      <c r="D660" s="68"/>
      <c r="E660" s="70"/>
      <c r="F660" s="71"/>
      <c r="G660" s="70"/>
      <c r="H660" s="71"/>
      <c r="I660" s="73"/>
      <c r="J660" s="74"/>
      <c r="K660" s="74"/>
      <c r="L660" s="74"/>
    </row>
    <row r="661" spans="1:12" x14ac:dyDescent="0.3">
      <c r="A661" s="27"/>
      <c r="B661" s="27"/>
      <c r="C661" s="27"/>
      <c r="D661" s="68"/>
      <c r="E661" s="70"/>
      <c r="F661" s="71"/>
      <c r="G661" s="70"/>
      <c r="H661" s="71"/>
      <c r="I661" s="73"/>
      <c r="J661" s="74"/>
      <c r="K661" s="74"/>
      <c r="L661" s="74"/>
    </row>
    <row r="662" spans="1:12" x14ac:dyDescent="0.3">
      <c r="A662" s="27"/>
      <c r="B662" s="27"/>
      <c r="C662" s="27"/>
      <c r="D662" s="68"/>
      <c r="E662" s="70"/>
      <c r="F662" s="71"/>
      <c r="G662" s="70"/>
      <c r="H662" s="71"/>
      <c r="I662" s="73"/>
      <c r="J662" s="74"/>
      <c r="K662" s="74"/>
      <c r="L662" s="74"/>
    </row>
    <row r="663" spans="1:12" x14ac:dyDescent="0.3">
      <c r="A663" s="27"/>
      <c r="B663" s="27"/>
      <c r="C663" s="27"/>
      <c r="D663" s="68"/>
      <c r="E663" s="70"/>
      <c r="F663" s="71"/>
      <c r="G663" s="70"/>
      <c r="H663" s="71"/>
      <c r="I663" s="73"/>
      <c r="J663" s="74"/>
      <c r="K663" s="74"/>
      <c r="L663" s="74"/>
    </row>
    <row r="664" spans="1:12" x14ac:dyDescent="0.3">
      <c r="A664" s="27"/>
      <c r="B664" s="27"/>
      <c r="C664" s="27"/>
      <c r="D664" s="68"/>
      <c r="E664" s="70"/>
      <c r="F664" s="71"/>
      <c r="G664" s="70"/>
      <c r="H664" s="71"/>
      <c r="I664" s="73"/>
      <c r="J664" s="74"/>
      <c r="K664" s="74"/>
      <c r="L664" s="74"/>
    </row>
    <row r="665" spans="1:12" x14ac:dyDescent="0.3">
      <c r="A665" s="27"/>
      <c r="B665" s="27"/>
      <c r="C665" s="27"/>
      <c r="D665" s="68"/>
      <c r="E665" s="70"/>
      <c r="F665" s="71"/>
      <c r="G665" s="70"/>
      <c r="H665" s="71"/>
      <c r="I665" s="73"/>
      <c r="J665" s="74"/>
      <c r="K665" s="74"/>
      <c r="L665" s="74"/>
    </row>
    <row r="666" spans="1:12" x14ac:dyDescent="0.3">
      <c r="A666" s="27"/>
      <c r="B666" s="27"/>
      <c r="C666" s="27"/>
      <c r="D666" s="68"/>
      <c r="E666" s="70"/>
      <c r="F666" s="71"/>
      <c r="G666" s="70"/>
      <c r="H666" s="71"/>
      <c r="I666" s="73"/>
      <c r="J666" s="74"/>
      <c r="K666" s="74"/>
      <c r="L666" s="74"/>
    </row>
    <row r="667" spans="1:12" x14ac:dyDescent="0.3">
      <c r="A667" s="27"/>
      <c r="B667" s="27"/>
      <c r="C667" s="27"/>
      <c r="D667" s="68"/>
      <c r="E667" s="70"/>
      <c r="F667" s="71"/>
      <c r="G667" s="70"/>
      <c r="H667" s="71"/>
      <c r="I667" s="73"/>
      <c r="J667" s="74"/>
      <c r="K667" s="74"/>
      <c r="L667" s="74"/>
    </row>
    <row r="668" spans="1:12" x14ac:dyDescent="0.3">
      <c r="A668" s="27"/>
      <c r="B668" s="27"/>
      <c r="C668" s="27"/>
      <c r="D668" s="68"/>
      <c r="E668" s="70"/>
      <c r="F668" s="71"/>
      <c r="G668" s="70"/>
      <c r="H668" s="71"/>
      <c r="I668" s="73"/>
      <c r="J668" s="74"/>
      <c r="K668" s="74"/>
      <c r="L668" s="74"/>
    </row>
    <row r="669" spans="1:12" x14ac:dyDescent="0.3">
      <c r="A669" s="27"/>
      <c r="B669" s="27"/>
      <c r="C669" s="27"/>
      <c r="D669" s="68"/>
      <c r="E669" s="70"/>
      <c r="F669" s="71"/>
      <c r="G669" s="70"/>
      <c r="H669" s="71"/>
      <c r="I669" s="73"/>
      <c r="J669" s="74"/>
      <c r="K669" s="74"/>
      <c r="L669" s="74"/>
    </row>
    <row r="670" spans="1:12" x14ac:dyDescent="0.3">
      <c r="A670" s="27"/>
      <c r="B670" s="27"/>
      <c r="C670" s="27"/>
      <c r="D670" s="68"/>
      <c r="E670" s="70"/>
      <c r="F670" s="71"/>
      <c r="G670" s="70"/>
      <c r="H670" s="71"/>
      <c r="I670" s="73"/>
      <c r="J670" s="74"/>
      <c r="K670" s="74"/>
      <c r="L670" s="74"/>
    </row>
    <row r="671" spans="1:12" x14ac:dyDescent="0.3">
      <c r="A671" s="27"/>
      <c r="B671" s="27"/>
      <c r="C671" s="27"/>
      <c r="D671" s="68"/>
      <c r="E671" s="70"/>
      <c r="F671" s="71"/>
      <c r="G671" s="70"/>
      <c r="H671" s="71"/>
      <c r="I671" s="73"/>
      <c r="J671" s="74"/>
      <c r="K671" s="74"/>
      <c r="L671" s="74"/>
    </row>
    <row r="672" spans="1:12" x14ac:dyDescent="0.3">
      <c r="A672" s="27"/>
      <c r="B672" s="27"/>
      <c r="C672" s="27"/>
      <c r="D672" s="68"/>
      <c r="E672" s="70"/>
      <c r="F672" s="71"/>
      <c r="G672" s="70"/>
      <c r="H672" s="71"/>
      <c r="I672" s="73"/>
      <c r="J672" s="74"/>
      <c r="K672" s="74"/>
      <c r="L672" s="74"/>
    </row>
    <row r="673" spans="1:12" x14ac:dyDescent="0.3">
      <c r="A673" s="27"/>
      <c r="B673" s="27"/>
      <c r="C673" s="27"/>
      <c r="D673" s="68"/>
      <c r="E673" s="70"/>
      <c r="F673" s="71"/>
      <c r="G673" s="70"/>
      <c r="H673" s="71"/>
      <c r="I673" s="73"/>
      <c r="J673" s="74"/>
      <c r="K673" s="74"/>
      <c r="L673" s="74"/>
    </row>
    <row r="674" spans="1:12" x14ac:dyDescent="0.3">
      <c r="A674" s="27"/>
      <c r="B674" s="27"/>
      <c r="C674" s="27"/>
      <c r="D674" s="68"/>
      <c r="E674" s="70"/>
      <c r="F674" s="71"/>
      <c r="G674" s="70"/>
      <c r="H674" s="71"/>
      <c r="I674" s="73"/>
      <c r="J674" s="74"/>
      <c r="K674" s="74"/>
      <c r="L674" s="74"/>
    </row>
    <row r="675" spans="1:12" x14ac:dyDescent="0.3">
      <c r="A675" s="27"/>
      <c r="B675" s="27"/>
      <c r="C675" s="27"/>
      <c r="D675" s="68"/>
      <c r="E675" s="70"/>
      <c r="F675" s="71"/>
      <c r="G675" s="70"/>
      <c r="H675" s="71"/>
      <c r="I675" s="73"/>
      <c r="J675" s="74"/>
      <c r="K675" s="74"/>
      <c r="L675" s="74"/>
    </row>
    <row r="676" spans="1:12" x14ac:dyDescent="0.3">
      <c r="A676" s="27"/>
      <c r="B676" s="27"/>
      <c r="C676" s="27"/>
      <c r="D676" s="68"/>
      <c r="E676" s="70"/>
      <c r="F676" s="71"/>
      <c r="G676" s="70"/>
      <c r="H676" s="71"/>
      <c r="I676" s="73"/>
      <c r="J676" s="74"/>
      <c r="K676" s="74"/>
      <c r="L676" s="74"/>
    </row>
    <row r="677" spans="1:12" x14ac:dyDescent="0.3">
      <c r="A677" s="27"/>
      <c r="B677" s="27"/>
      <c r="C677" s="27"/>
      <c r="D677" s="68"/>
      <c r="E677" s="70"/>
      <c r="F677" s="71"/>
      <c r="G677" s="70"/>
      <c r="H677" s="71"/>
      <c r="I677" s="73"/>
      <c r="J677" s="74"/>
      <c r="K677" s="74"/>
      <c r="L677" s="74"/>
    </row>
    <row r="678" spans="1:12" x14ac:dyDescent="0.3">
      <c r="A678" s="27"/>
      <c r="B678" s="27"/>
      <c r="C678" s="27"/>
      <c r="D678" s="68"/>
      <c r="E678" s="70"/>
      <c r="F678" s="71"/>
      <c r="G678" s="70"/>
      <c r="H678" s="71"/>
      <c r="I678" s="73"/>
      <c r="J678" s="74"/>
      <c r="K678" s="74"/>
      <c r="L678" s="74"/>
    </row>
    <row r="679" spans="1:12" x14ac:dyDescent="0.3">
      <c r="A679" s="27"/>
      <c r="B679" s="27"/>
      <c r="C679" s="27"/>
      <c r="D679" s="68"/>
      <c r="E679" s="70"/>
      <c r="F679" s="71"/>
      <c r="G679" s="70"/>
      <c r="H679" s="71"/>
      <c r="I679" s="73"/>
      <c r="J679" s="74"/>
      <c r="K679" s="74"/>
      <c r="L679" s="74"/>
    </row>
    <row r="680" spans="1:12" x14ac:dyDescent="0.3">
      <c r="A680" s="27"/>
      <c r="B680" s="27"/>
      <c r="C680" s="27"/>
      <c r="D680" s="68"/>
      <c r="E680" s="70"/>
      <c r="F680" s="71"/>
      <c r="G680" s="70"/>
      <c r="H680" s="71"/>
      <c r="I680" s="73"/>
      <c r="J680" s="74"/>
      <c r="K680" s="74"/>
      <c r="L680" s="74"/>
    </row>
    <row r="681" spans="1:12" x14ac:dyDescent="0.3">
      <c r="A681" s="27"/>
      <c r="B681" s="27"/>
      <c r="C681" s="27"/>
      <c r="D681" s="68"/>
      <c r="E681" s="70"/>
      <c r="F681" s="71"/>
      <c r="G681" s="70"/>
      <c r="H681" s="71"/>
      <c r="I681" s="73"/>
      <c r="J681" s="74"/>
      <c r="K681" s="74"/>
      <c r="L681" s="74"/>
    </row>
    <row r="682" spans="1:12" x14ac:dyDescent="0.3">
      <c r="A682" s="27"/>
      <c r="B682" s="27"/>
      <c r="C682" s="27"/>
      <c r="D682" s="68"/>
      <c r="E682" s="70"/>
      <c r="F682" s="71"/>
      <c r="G682" s="70"/>
      <c r="H682" s="71"/>
      <c r="I682" s="73"/>
      <c r="J682" s="74"/>
      <c r="K682" s="74"/>
      <c r="L682" s="74"/>
    </row>
    <row r="683" spans="1:12" x14ac:dyDescent="0.3">
      <c r="A683" s="27"/>
      <c r="B683" s="27"/>
      <c r="C683" s="27"/>
      <c r="D683" s="68"/>
      <c r="E683" s="70"/>
      <c r="F683" s="71"/>
      <c r="G683" s="70"/>
      <c r="H683" s="71"/>
      <c r="I683" s="73"/>
      <c r="J683" s="74"/>
      <c r="K683" s="74"/>
      <c r="L683" s="74"/>
    </row>
    <row r="684" spans="1:12" x14ac:dyDescent="0.3">
      <c r="A684" s="27"/>
      <c r="B684" s="27"/>
      <c r="C684" s="27"/>
      <c r="D684" s="68"/>
      <c r="E684" s="70"/>
      <c r="F684" s="71"/>
      <c r="G684" s="70"/>
      <c r="H684" s="71"/>
      <c r="I684" s="73"/>
      <c r="J684" s="74"/>
      <c r="K684" s="74"/>
      <c r="L684" s="74"/>
    </row>
    <row r="685" spans="1:12" x14ac:dyDescent="0.3">
      <c r="A685" s="27"/>
      <c r="B685" s="27"/>
      <c r="C685" s="27"/>
      <c r="D685" s="68"/>
      <c r="E685" s="70"/>
      <c r="F685" s="71"/>
      <c r="G685" s="70"/>
      <c r="H685" s="71"/>
      <c r="I685" s="73"/>
      <c r="J685" s="74"/>
      <c r="K685" s="74"/>
      <c r="L685" s="74"/>
    </row>
    <row r="686" spans="1:12" x14ac:dyDescent="0.3">
      <c r="A686" s="27"/>
      <c r="B686" s="27"/>
      <c r="C686" s="27"/>
      <c r="D686" s="68"/>
      <c r="E686" s="70"/>
      <c r="F686" s="71"/>
      <c r="G686" s="70"/>
      <c r="H686" s="71"/>
      <c r="I686" s="73"/>
      <c r="J686" s="74"/>
      <c r="K686" s="74"/>
      <c r="L686" s="74"/>
    </row>
    <row r="687" spans="1:12" x14ac:dyDescent="0.3">
      <c r="A687" s="27"/>
      <c r="B687" s="27"/>
      <c r="C687" s="27"/>
      <c r="D687" s="68"/>
      <c r="E687" s="70"/>
      <c r="F687" s="71"/>
      <c r="G687" s="70"/>
      <c r="H687" s="71"/>
      <c r="I687" s="73"/>
      <c r="J687" s="74"/>
      <c r="K687" s="74"/>
      <c r="L687" s="74"/>
    </row>
    <row r="688" spans="1:12" x14ac:dyDescent="0.3">
      <c r="A688" s="27"/>
      <c r="B688" s="27"/>
      <c r="C688" s="27"/>
      <c r="D688" s="68"/>
      <c r="E688" s="70"/>
      <c r="F688" s="71"/>
      <c r="G688" s="70"/>
      <c r="H688" s="71"/>
      <c r="I688" s="73"/>
      <c r="J688" s="74"/>
      <c r="K688" s="74"/>
      <c r="L688" s="74"/>
    </row>
    <row r="689" spans="1:12" x14ac:dyDescent="0.3">
      <c r="A689" s="27"/>
      <c r="B689" s="27"/>
      <c r="C689" s="27"/>
      <c r="D689" s="68"/>
      <c r="E689" s="70"/>
      <c r="F689" s="71"/>
      <c r="G689" s="70"/>
      <c r="H689" s="71"/>
      <c r="I689" s="73"/>
      <c r="J689" s="74"/>
      <c r="K689" s="74"/>
      <c r="L689" s="74"/>
    </row>
    <row r="690" spans="1:12" x14ac:dyDescent="0.3">
      <c r="A690" s="27"/>
      <c r="B690" s="27"/>
      <c r="C690" s="27"/>
      <c r="D690" s="68"/>
      <c r="E690" s="70"/>
      <c r="F690" s="71"/>
      <c r="G690" s="70"/>
      <c r="H690" s="71"/>
      <c r="I690" s="73"/>
      <c r="J690" s="74"/>
      <c r="K690" s="74"/>
      <c r="L690" s="74"/>
    </row>
    <row r="691" spans="1:12" x14ac:dyDescent="0.3">
      <c r="A691" s="27"/>
      <c r="B691" s="27"/>
      <c r="C691" s="27"/>
      <c r="D691" s="68"/>
      <c r="E691" s="70"/>
      <c r="F691" s="71"/>
      <c r="G691" s="70"/>
      <c r="H691" s="71"/>
      <c r="I691" s="73"/>
      <c r="J691" s="74"/>
      <c r="K691" s="74"/>
      <c r="L691" s="74"/>
    </row>
    <row r="692" spans="1:12" x14ac:dyDescent="0.3">
      <c r="A692" s="27"/>
      <c r="B692" s="27"/>
      <c r="C692" s="27"/>
      <c r="D692" s="68"/>
      <c r="E692" s="70"/>
      <c r="F692" s="71"/>
      <c r="G692" s="70"/>
      <c r="H692" s="71"/>
      <c r="I692" s="73"/>
      <c r="J692" s="74"/>
      <c r="K692" s="74"/>
      <c r="L692" s="74"/>
    </row>
    <row r="693" spans="1:12" x14ac:dyDescent="0.3">
      <c r="A693" s="27"/>
      <c r="B693" s="27"/>
      <c r="C693" s="27"/>
      <c r="D693" s="68"/>
      <c r="E693" s="70"/>
      <c r="F693" s="71"/>
      <c r="G693" s="70"/>
      <c r="H693" s="71"/>
      <c r="I693" s="73"/>
      <c r="J693" s="74"/>
      <c r="K693" s="74"/>
      <c r="L693" s="74"/>
    </row>
    <row r="694" spans="1:12" x14ac:dyDescent="0.3">
      <c r="A694" s="27"/>
      <c r="B694" s="27"/>
      <c r="C694" s="27"/>
      <c r="D694" s="68"/>
      <c r="E694" s="70"/>
      <c r="F694" s="71"/>
      <c r="G694" s="70"/>
      <c r="H694" s="71"/>
      <c r="I694" s="73"/>
      <c r="J694" s="74"/>
      <c r="K694" s="74"/>
      <c r="L694" s="74"/>
    </row>
    <row r="695" spans="1:12" x14ac:dyDescent="0.3">
      <c r="A695" s="27"/>
      <c r="B695" s="27"/>
      <c r="C695" s="27"/>
      <c r="D695" s="68"/>
      <c r="E695" s="70"/>
      <c r="F695" s="71"/>
      <c r="G695" s="70"/>
      <c r="H695" s="71"/>
      <c r="I695" s="73"/>
      <c r="J695" s="74"/>
      <c r="K695" s="74"/>
      <c r="L695" s="74"/>
    </row>
    <row r="696" spans="1:12" x14ac:dyDescent="0.3">
      <c r="A696" s="27"/>
      <c r="B696" s="27"/>
      <c r="C696" s="27"/>
      <c r="D696" s="68"/>
      <c r="E696" s="70"/>
      <c r="F696" s="71"/>
      <c r="G696" s="70"/>
      <c r="H696" s="71"/>
      <c r="I696" s="73"/>
      <c r="J696" s="74"/>
      <c r="K696" s="74"/>
      <c r="L696" s="74"/>
    </row>
    <row r="697" spans="1:12" x14ac:dyDescent="0.3">
      <c r="A697" s="27"/>
      <c r="B697" s="27"/>
      <c r="C697" s="27"/>
      <c r="D697" s="68"/>
      <c r="E697" s="70"/>
      <c r="F697" s="71"/>
      <c r="G697" s="70"/>
      <c r="H697" s="71"/>
      <c r="I697" s="73"/>
      <c r="J697" s="74"/>
      <c r="K697" s="74"/>
      <c r="L697" s="74"/>
    </row>
    <row r="698" spans="1:12" x14ac:dyDescent="0.3">
      <c r="A698" s="27"/>
      <c r="B698" s="27"/>
      <c r="C698" s="27"/>
      <c r="D698" s="68"/>
      <c r="E698" s="70"/>
      <c r="F698" s="71"/>
      <c r="G698" s="70"/>
      <c r="H698" s="71"/>
      <c r="I698" s="73"/>
      <c r="J698" s="74"/>
      <c r="K698" s="74"/>
      <c r="L698" s="74"/>
    </row>
    <row r="699" spans="1:12" x14ac:dyDescent="0.3">
      <c r="A699" s="27"/>
      <c r="B699" s="27"/>
      <c r="C699" s="27"/>
      <c r="D699" s="68"/>
      <c r="E699" s="70"/>
      <c r="F699" s="71"/>
      <c r="G699" s="70"/>
      <c r="H699" s="71"/>
      <c r="I699" s="73"/>
      <c r="J699" s="74"/>
      <c r="K699" s="74"/>
      <c r="L699" s="74"/>
    </row>
    <row r="700" spans="1:12" x14ac:dyDescent="0.3">
      <c r="A700" s="27"/>
      <c r="B700" s="27"/>
      <c r="C700" s="27"/>
      <c r="D700" s="68"/>
      <c r="E700" s="70"/>
      <c r="F700" s="71"/>
      <c r="G700" s="70"/>
      <c r="H700" s="71"/>
      <c r="I700" s="73"/>
      <c r="J700" s="74"/>
      <c r="K700" s="74"/>
      <c r="L700" s="74"/>
    </row>
    <row r="701" spans="1:12" x14ac:dyDescent="0.3">
      <c r="A701" s="27"/>
      <c r="B701" s="27"/>
      <c r="C701" s="27"/>
      <c r="D701" s="68"/>
      <c r="E701" s="70"/>
      <c r="F701" s="71"/>
      <c r="G701" s="70"/>
      <c r="H701" s="71"/>
      <c r="I701" s="73"/>
      <c r="J701" s="74"/>
      <c r="K701" s="74"/>
      <c r="L701" s="74"/>
    </row>
    <row r="702" spans="1:12" x14ac:dyDescent="0.3">
      <c r="A702" s="27"/>
      <c r="B702" s="27"/>
      <c r="C702" s="27"/>
      <c r="D702" s="68"/>
      <c r="E702" s="70"/>
      <c r="F702" s="71"/>
      <c r="G702" s="70"/>
      <c r="H702" s="71"/>
      <c r="I702" s="73"/>
      <c r="J702" s="74"/>
      <c r="K702" s="74"/>
      <c r="L702" s="74"/>
    </row>
    <row r="703" spans="1:12" x14ac:dyDescent="0.3">
      <c r="A703" s="27"/>
      <c r="B703" s="27"/>
      <c r="C703" s="27"/>
      <c r="D703" s="68"/>
      <c r="E703" s="70"/>
      <c r="F703" s="71"/>
      <c r="G703" s="70"/>
      <c r="H703" s="71"/>
      <c r="I703" s="73"/>
      <c r="J703" s="74"/>
      <c r="K703" s="74"/>
      <c r="L703" s="74"/>
    </row>
    <row r="704" spans="1:12" x14ac:dyDescent="0.3">
      <c r="A704" s="27"/>
      <c r="B704" s="27"/>
      <c r="C704" s="27"/>
      <c r="D704" s="68"/>
      <c r="E704" s="70"/>
      <c r="F704" s="71"/>
      <c r="G704" s="70"/>
      <c r="H704" s="71"/>
      <c r="I704" s="73"/>
      <c r="J704" s="74"/>
      <c r="K704" s="74"/>
      <c r="L704" s="74"/>
    </row>
    <row r="705" spans="1:12" x14ac:dyDescent="0.3">
      <c r="A705" s="27"/>
      <c r="B705" s="27"/>
      <c r="C705" s="27"/>
      <c r="D705" s="68"/>
      <c r="E705" s="70"/>
      <c r="F705" s="71"/>
      <c r="G705" s="70"/>
      <c r="H705" s="71"/>
      <c r="I705" s="73"/>
      <c r="J705" s="74"/>
      <c r="K705" s="74"/>
      <c r="L705" s="74"/>
    </row>
    <row r="706" spans="1:12" x14ac:dyDescent="0.3">
      <c r="A706" s="27"/>
      <c r="B706" s="27"/>
      <c r="C706" s="27"/>
      <c r="D706" s="68"/>
      <c r="E706" s="70"/>
      <c r="F706" s="71"/>
      <c r="G706" s="70"/>
      <c r="H706" s="71"/>
      <c r="I706" s="73"/>
      <c r="J706" s="74"/>
      <c r="K706" s="74"/>
      <c r="L706" s="74"/>
    </row>
    <row r="707" spans="1:12" x14ac:dyDescent="0.3">
      <c r="A707" s="27"/>
      <c r="B707" s="27"/>
      <c r="C707" s="27"/>
      <c r="D707" s="68"/>
      <c r="E707" s="70"/>
      <c r="F707" s="71"/>
      <c r="G707" s="70"/>
      <c r="H707" s="71"/>
      <c r="I707" s="73"/>
      <c r="J707" s="74"/>
      <c r="K707" s="74"/>
      <c r="L707" s="74"/>
    </row>
    <row r="708" spans="1:12" x14ac:dyDescent="0.3">
      <c r="A708" s="27"/>
      <c r="B708" s="27"/>
      <c r="C708" s="27"/>
      <c r="D708" s="68"/>
      <c r="E708" s="70"/>
      <c r="F708" s="71"/>
      <c r="G708" s="70"/>
      <c r="H708" s="71"/>
      <c r="I708" s="73"/>
      <c r="J708" s="74"/>
      <c r="K708" s="74"/>
      <c r="L708" s="74"/>
    </row>
    <row r="709" spans="1:12" x14ac:dyDescent="0.3">
      <c r="A709" s="27"/>
      <c r="B709" s="27"/>
      <c r="C709" s="27"/>
      <c r="D709" s="68"/>
      <c r="E709" s="70"/>
      <c r="F709" s="71"/>
      <c r="G709" s="70"/>
      <c r="H709" s="71"/>
      <c r="I709" s="73"/>
      <c r="J709" s="74"/>
      <c r="K709" s="74"/>
      <c r="L709" s="74"/>
    </row>
    <row r="710" spans="1:12" x14ac:dyDescent="0.3">
      <c r="A710" s="27"/>
      <c r="B710" s="27"/>
      <c r="C710" s="27"/>
      <c r="D710" s="68"/>
      <c r="E710" s="70"/>
      <c r="F710" s="71"/>
      <c r="G710" s="70"/>
      <c r="H710" s="71"/>
      <c r="I710" s="73"/>
      <c r="J710" s="74"/>
      <c r="K710" s="74"/>
      <c r="L710" s="74"/>
    </row>
    <row r="711" spans="1:12" x14ac:dyDescent="0.3">
      <c r="A711" s="27"/>
      <c r="B711" s="27"/>
      <c r="C711" s="27"/>
      <c r="D711" s="68"/>
      <c r="E711" s="70"/>
      <c r="F711" s="71"/>
      <c r="G711" s="70"/>
      <c r="H711" s="71"/>
      <c r="I711" s="73"/>
      <c r="J711" s="74"/>
      <c r="K711" s="74"/>
      <c r="L711" s="74"/>
    </row>
    <row r="712" spans="1:12" x14ac:dyDescent="0.3">
      <c r="A712" s="27"/>
      <c r="B712" s="27"/>
      <c r="C712" s="27"/>
      <c r="D712" s="68"/>
      <c r="E712" s="70"/>
      <c r="F712" s="71"/>
      <c r="G712" s="70"/>
      <c r="H712" s="71"/>
      <c r="I712" s="73"/>
      <c r="J712" s="74"/>
      <c r="K712" s="74"/>
      <c r="L712" s="74"/>
    </row>
    <row r="713" spans="1:12" x14ac:dyDescent="0.3">
      <c r="A713" s="27"/>
      <c r="B713" s="27"/>
      <c r="C713" s="27"/>
      <c r="D713" s="68"/>
      <c r="E713" s="70"/>
      <c r="F713" s="71"/>
      <c r="G713" s="70"/>
      <c r="H713" s="71"/>
      <c r="I713" s="73"/>
      <c r="J713" s="74"/>
      <c r="K713" s="74"/>
      <c r="L713" s="74"/>
    </row>
    <row r="714" spans="1:12" x14ac:dyDescent="0.3">
      <c r="A714" s="27"/>
      <c r="B714" s="27"/>
      <c r="C714" s="27"/>
      <c r="D714" s="68"/>
      <c r="E714" s="70"/>
      <c r="F714" s="71"/>
      <c r="G714" s="70"/>
      <c r="H714" s="71"/>
      <c r="I714" s="73"/>
      <c r="J714" s="74"/>
      <c r="K714" s="74"/>
      <c r="L714" s="74"/>
    </row>
    <row r="715" spans="1:12" x14ac:dyDescent="0.3">
      <c r="A715" s="27"/>
      <c r="B715" s="27"/>
      <c r="C715" s="27"/>
      <c r="D715" s="68"/>
      <c r="E715" s="70"/>
      <c r="F715" s="71"/>
      <c r="G715" s="70"/>
      <c r="H715" s="71"/>
      <c r="I715" s="73"/>
      <c r="J715" s="74"/>
      <c r="K715" s="74"/>
      <c r="L715" s="74"/>
    </row>
    <row r="716" spans="1:12" x14ac:dyDescent="0.3">
      <c r="A716" s="27"/>
      <c r="B716" s="27"/>
      <c r="C716" s="27"/>
      <c r="D716" s="68"/>
      <c r="E716" s="70"/>
      <c r="F716" s="71"/>
      <c r="G716" s="70"/>
      <c r="H716" s="71"/>
      <c r="I716" s="73"/>
      <c r="J716" s="74"/>
      <c r="K716" s="74"/>
      <c r="L716" s="74"/>
    </row>
    <row r="717" spans="1:12" x14ac:dyDescent="0.3">
      <c r="A717" s="27"/>
      <c r="B717" s="27"/>
      <c r="C717" s="27"/>
      <c r="D717" s="68"/>
      <c r="E717" s="70"/>
      <c r="F717" s="71"/>
      <c r="G717" s="70"/>
      <c r="H717" s="71"/>
      <c r="I717" s="73"/>
      <c r="J717" s="74"/>
      <c r="K717" s="74"/>
      <c r="L717" s="74"/>
    </row>
    <row r="718" spans="1:12" x14ac:dyDescent="0.3">
      <c r="A718" s="27"/>
      <c r="B718" s="27"/>
      <c r="C718" s="27"/>
      <c r="D718" s="68"/>
      <c r="E718" s="70"/>
      <c r="F718" s="71"/>
      <c r="G718" s="70"/>
      <c r="H718" s="71"/>
      <c r="I718" s="73"/>
      <c r="J718" s="74"/>
      <c r="K718" s="74"/>
      <c r="L718" s="74"/>
    </row>
    <row r="719" spans="1:12" x14ac:dyDescent="0.3">
      <c r="A719" s="27"/>
      <c r="B719" s="27"/>
      <c r="C719" s="27"/>
      <c r="D719" s="68"/>
      <c r="E719" s="70"/>
      <c r="F719" s="71"/>
      <c r="G719" s="70"/>
      <c r="H719" s="71"/>
      <c r="I719" s="73"/>
      <c r="J719" s="74"/>
      <c r="K719" s="74"/>
      <c r="L719" s="74"/>
    </row>
    <row r="720" spans="1:12" x14ac:dyDescent="0.3">
      <c r="A720" s="27"/>
      <c r="B720" s="27"/>
      <c r="C720" s="27"/>
      <c r="D720" s="68"/>
      <c r="E720" s="70"/>
      <c r="F720" s="71"/>
      <c r="G720" s="70"/>
      <c r="H720" s="71"/>
      <c r="I720" s="73"/>
      <c r="J720" s="74"/>
      <c r="K720" s="74"/>
      <c r="L720" s="74"/>
    </row>
    <row r="721" spans="1:12" x14ac:dyDescent="0.3">
      <c r="A721" s="27"/>
      <c r="B721" s="27"/>
      <c r="C721" s="27"/>
      <c r="D721" s="68"/>
      <c r="E721" s="70"/>
      <c r="F721" s="71"/>
      <c r="G721" s="70"/>
      <c r="H721" s="71"/>
      <c r="I721" s="73"/>
      <c r="J721" s="74"/>
      <c r="K721" s="74"/>
      <c r="L721" s="74"/>
    </row>
    <row r="722" spans="1:12" x14ac:dyDescent="0.3">
      <c r="A722" s="27"/>
      <c r="B722" s="27"/>
      <c r="C722" s="27"/>
      <c r="D722" s="68"/>
      <c r="E722" s="70"/>
      <c r="F722" s="71"/>
      <c r="G722" s="70"/>
      <c r="H722" s="71"/>
      <c r="I722" s="73"/>
      <c r="J722" s="74"/>
      <c r="K722" s="74"/>
      <c r="L722" s="74"/>
    </row>
    <row r="723" spans="1:12" x14ac:dyDescent="0.3">
      <c r="A723" s="27"/>
      <c r="B723" s="27"/>
      <c r="C723" s="27"/>
      <c r="D723" s="68"/>
      <c r="E723" s="70"/>
      <c r="F723" s="71"/>
      <c r="G723" s="70"/>
      <c r="H723" s="71"/>
      <c r="I723" s="73"/>
      <c r="J723" s="74"/>
      <c r="K723" s="74"/>
      <c r="L723" s="74"/>
    </row>
    <row r="724" spans="1:12" x14ac:dyDescent="0.3">
      <c r="A724" s="27"/>
      <c r="B724" s="27"/>
      <c r="C724" s="27"/>
      <c r="D724" s="68"/>
      <c r="E724" s="70"/>
      <c r="F724" s="71"/>
      <c r="G724" s="70"/>
      <c r="H724" s="71"/>
      <c r="I724" s="73"/>
      <c r="J724" s="74"/>
      <c r="K724" s="74"/>
      <c r="L724" s="74"/>
    </row>
    <row r="725" spans="1:12" x14ac:dyDescent="0.3">
      <c r="A725" s="27"/>
      <c r="B725" s="27"/>
      <c r="C725" s="27"/>
      <c r="D725" s="68"/>
      <c r="E725" s="70"/>
      <c r="F725" s="71"/>
      <c r="G725" s="70"/>
      <c r="H725" s="71"/>
      <c r="I725" s="73"/>
      <c r="J725" s="74"/>
      <c r="K725" s="74"/>
      <c r="L725" s="74"/>
    </row>
    <row r="726" spans="1:12" x14ac:dyDescent="0.3">
      <c r="A726" s="27"/>
      <c r="B726" s="27"/>
      <c r="C726" s="27"/>
      <c r="D726" s="68"/>
      <c r="E726" s="70"/>
      <c r="F726" s="71"/>
      <c r="G726" s="70"/>
      <c r="H726" s="71"/>
      <c r="I726" s="73"/>
      <c r="J726" s="74"/>
      <c r="K726" s="74"/>
      <c r="L726" s="74"/>
    </row>
    <row r="727" spans="1:12" x14ac:dyDescent="0.3">
      <c r="A727" s="27"/>
      <c r="B727" s="27"/>
      <c r="C727" s="27"/>
      <c r="D727" s="68"/>
      <c r="E727" s="70"/>
      <c r="F727" s="71"/>
      <c r="G727" s="70"/>
      <c r="H727" s="71"/>
      <c r="I727" s="73"/>
      <c r="J727" s="74"/>
      <c r="K727" s="74"/>
      <c r="L727" s="74"/>
    </row>
    <row r="728" spans="1:12" x14ac:dyDescent="0.3">
      <c r="A728" s="27"/>
      <c r="B728" s="27"/>
      <c r="C728" s="27"/>
      <c r="D728" s="68"/>
      <c r="E728" s="70"/>
      <c r="F728" s="71"/>
      <c r="G728" s="70"/>
      <c r="H728" s="71"/>
      <c r="I728" s="73"/>
      <c r="J728" s="74"/>
      <c r="K728" s="74"/>
      <c r="L728" s="74"/>
    </row>
    <row r="729" spans="1:12" x14ac:dyDescent="0.3">
      <c r="A729" s="27"/>
      <c r="B729" s="27"/>
      <c r="C729" s="27"/>
      <c r="D729" s="68"/>
      <c r="E729" s="70"/>
      <c r="F729" s="71"/>
      <c r="G729" s="70"/>
      <c r="H729" s="71"/>
      <c r="I729" s="73"/>
      <c r="J729" s="74"/>
      <c r="K729" s="74"/>
      <c r="L729" s="74"/>
    </row>
    <row r="730" spans="1:12" x14ac:dyDescent="0.3">
      <c r="A730" s="27"/>
      <c r="B730" s="27"/>
      <c r="C730" s="27"/>
      <c r="D730" s="68"/>
      <c r="E730" s="70"/>
      <c r="F730" s="71"/>
      <c r="G730" s="70"/>
      <c r="H730" s="71"/>
      <c r="I730" s="73"/>
      <c r="J730" s="74"/>
      <c r="K730" s="74"/>
      <c r="L730" s="74"/>
    </row>
    <row r="731" spans="1:12" x14ac:dyDescent="0.3">
      <c r="A731" s="27"/>
      <c r="B731" s="27"/>
      <c r="C731" s="27"/>
      <c r="D731" s="68"/>
      <c r="E731" s="70"/>
      <c r="F731" s="71"/>
      <c r="G731" s="70"/>
      <c r="H731" s="71"/>
      <c r="I731" s="73"/>
      <c r="J731" s="74"/>
      <c r="K731" s="74"/>
      <c r="L731" s="74"/>
    </row>
    <row r="732" spans="1:12" x14ac:dyDescent="0.3">
      <c r="A732" s="27"/>
      <c r="B732" s="27"/>
      <c r="C732" s="27"/>
      <c r="D732" s="68"/>
      <c r="E732" s="70"/>
      <c r="F732" s="71"/>
      <c r="G732" s="70"/>
      <c r="H732" s="71"/>
      <c r="I732" s="73"/>
      <c r="J732" s="74"/>
      <c r="K732" s="74"/>
      <c r="L732" s="74"/>
    </row>
    <row r="733" spans="1:12" x14ac:dyDescent="0.3">
      <c r="A733" s="27"/>
      <c r="B733" s="27"/>
      <c r="C733" s="27"/>
      <c r="D733" s="68"/>
      <c r="E733" s="70"/>
      <c r="F733" s="71"/>
      <c r="G733" s="70"/>
      <c r="H733" s="71"/>
      <c r="I733" s="73"/>
      <c r="J733" s="74"/>
      <c r="K733" s="74"/>
      <c r="L733" s="74"/>
    </row>
    <row r="734" spans="1:12" x14ac:dyDescent="0.3">
      <c r="A734" s="27"/>
      <c r="B734" s="27"/>
      <c r="C734" s="27"/>
      <c r="D734" s="68"/>
      <c r="E734" s="70"/>
      <c r="F734" s="71"/>
      <c r="G734" s="70"/>
      <c r="H734" s="71"/>
      <c r="I734" s="73"/>
      <c r="J734" s="74"/>
      <c r="K734" s="74"/>
      <c r="L734" s="74"/>
    </row>
    <row r="735" spans="1:12" x14ac:dyDescent="0.3">
      <c r="A735" s="27"/>
      <c r="B735" s="27"/>
      <c r="C735" s="27"/>
      <c r="D735" s="68"/>
      <c r="E735" s="70"/>
      <c r="F735" s="71"/>
      <c r="G735" s="70"/>
      <c r="H735" s="71"/>
      <c r="I735" s="73"/>
      <c r="J735" s="74"/>
      <c r="K735" s="74"/>
      <c r="L735" s="74"/>
    </row>
    <row r="736" spans="1:12" x14ac:dyDescent="0.3">
      <c r="A736" s="27"/>
      <c r="B736" s="27"/>
      <c r="C736" s="27"/>
      <c r="D736" s="68"/>
      <c r="E736" s="70"/>
      <c r="F736" s="71"/>
      <c r="G736" s="70"/>
      <c r="H736" s="71"/>
      <c r="I736" s="73"/>
      <c r="J736" s="74"/>
      <c r="K736" s="74"/>
      <c r="L736" s="74"/>
    </row>
    <row r="737" spans="1:12" x14ac:dyDescent="0.3">
      <c r="A737" s="27"/>
      <c r="B737" s="27"/>
      <c r="C737" s="27"/>
      <c r="D737" s="68"/>
      <c r="E737" s="70"/>
      <c r="F737" s="71"/>
      <c r="G737" s="70"/>
      <c r="H737" s="71"/>
      <c r="I737" s="73"/>
      <c r="J737" s="74"/>
      <c r="K737" s="74"/>
      <c r="L737" s="74"/>
    </row>
    <row r="738" spans="1:12" x14ac:dyDescent="0.3">
      <c r="A738" s="27"/>
      <c r="B738" s="27"/>
      <c r="C738" s="27"/>
      <c r="D738" s="68"/>
      <c r="E738" s="70"/>
      <c r="F738" s="71"/>
      <c r="G738" s="70"/>
      <c r="H738" s="71"/>
      <c r="I738" s="73"/>
      <c r="J738" s="74"/>
      <c r="K738" s="74"/>
      <c r="L738" s="74"/>
    </row>
    <row r="739" spans="1:12" x14ac:dyDescent="0.3">
      <c r="A739" s="27"/>
      <c r="B739" s="27"/>
      <c r="C739" s="27"/>
      <c r="D739" s="68"/>
      <c r="E739" s="70"/>
      <c r="F739" s="71"/>
      <c r="G739" s="70"/>
      <c r="H739" s="71"/>
      <c r="I739" s="73"/>
      <c r="J739" s="74"/>
      <c r="K739" s="74"/>
      <c r="L739" s="74"/>
    </row>
    <row r="740" spans="1:12" x14ac:dyDescent="0.3">
      <c r="A740" s="27"/>
      <c r="B740" s="27"/>
      <c r="C740" s="27"/>
      <c r="D740" s="68"/>
      <c r="E740" s="70"/>
      <c r="F740" s="71"/>
      <c r="G740" s="70"/>
      <c r="H740" s="71"/>
      <c r="I740" s="73"/>
      <c r="J740" s="74"/>
      <c r="K740" s="74"/>
      <c r="L740" s="74"/>
    </row>
    <row r="741" spans="1:12" x14ac:dyDescent="0.3">
      <c r="A741" s="27"/>
      <c r="B741" s="27"/>
      <c r="C741" s="27"/>
      <c r="D741" s="68"/>
      <c r="E741" s="70"/>
      <c r="F741" s="71"/>
      <c r="G741" s="70"/>
      <c r="H741" s="71"/>
      <c r="I741" s="73"/>
      <c r="J741" s="74"/>
      <c r="K741" s="74"/>
      <c r="L741" s="74"/>
    </row>
    <row r="742" spans="1:12" x14ac:dyDescent="0.3">
      <c r="A742" s="27"/>
      <c r="B742" s="27"/>
      <c r="C742" s="27"/>
      <c r="D742" s="68"/>
      <c r="E742" s="70"/>
      <c r="F742" s="71"/>
      <c r="G742" s="70"/>
      <c r="H742" s="71"/>
      <c r="I742" s="73"/>
      <c r="J742" s="74"/>
      <c r="K742" s="74"/>
      <c r="L742" s="74"/>
    </row>
    <row r="743" spans="1:12" x14ac:dyDescent="0.3">
      <c r="A743" s="27"/>
      <c r="B743" s="27"/>
      <c r="C743" s="27"/>
      <c r="D743" s="68"/>
      <c r="E743" s="70"/>
      <c r="F743" s="71"/>
      <c r="G743" s="70"/>
      <c r="H743" s="71"/>
      <c r="I743" s="73"/>
      <c r="J743" s="74"/>
      <c r="K743" s="74"/>
      <c r="L743" s="74"/>
    </row>
  </sheetData>
  <mergeCells count="4">
    <mergeCell ref="A5:D5"/>
    <mergeCell ref="E5:H5"/>
    <mergeCell ref="I5:L5"/>
    <mergeCell ref="A1:C3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3"/>
  <sheetViews>
    <sheetView zoomScaleNormal="100" workbookViewId="0">
      <pane xSplit="2376" ySplit="2184" topLeftCell="E12" activePane="bottomRight"/>
      <selection sqref="A1:B2"/>
      <selection pane="topRight" activeCell="I2" sqref="I2"/>
      <selection pane="bottomLeft" activeCell="A29" sqref="A29"/>
      <selection pane="bottomRight" activeCell="N29" sqref="N29"/>
    </sheetView>
  </sheetViews>
  <sheetFormatPr baseColWidth="10" defaultColWidth="10.88671875" defaultRowHeight="14.4" x14ac:dyDescent="0.3"/>
  <cols>
    <col min="1" max="1" width="18.88671875" style="80" customWidth="1"/>
    <col min="2" max="2" width="9.33203125" style="21" customWidth="1"/>
    <col min="3" max="3" width="17.5546875" style="80" customWidth="1"/>
    <col min="4" max="4" width="28.33203125" style="80" customWidth="1"/>
    <col min="5" max="5" width="19.88671875" style="21" customWidth="1"/>
    <col min="6" max="6" width="35.109375" style="21" customWidth="1"/>
    <col min="7" max="7" width="18.33203125" style="21" customWidth="1"/>
    <col min="8" max="8" width="22.5546875" style="21" customWidth="1"/>
    <col min="9" max="9" width="16.44140625" style="21" customWidth="1"/>
    <col min="10" max="10" width="11.88671875" style="21" customWidth="1"/>
    <col min="11" max="11" width="12.5546875" style="21" customWidth="1"/>
    <col min="12" max="12" width="11.88671875" style="21" customWidth="1"/>
    <col min="13" max="13" width="11.5546875" style="21" bestFit="1" customWidth="1"/>
    <col min="14" max="14" width="12.109375" style="21" customWidth="1"/>
    <col min="15" max="15" width="11.5546875" style="21" bestFit="1" customWidth="1"/>
    <col min="16" max="16" width="10.88671875" style="21"/>
    <col min="17" max="17" width="11.5546875" style="21" bestFit="1" customWidth="1"/>
    <col min="18" max="16384" width="10.88671875" style="21"/>
  </cols>
  <sheetData>
    <row r="1" spans="1:15" ht="21.9" customHeight="1" thickBot="1" x14ac:dyDescent="0.35">
      <c r="A1" s="170" t="s">
        <v>89</v>
      </c>
      <c r="B1" s="171"/>
      <c r="C1" s="79"/>
      <c r="D1" s="79"/>
      <c r="F1"/>
      <c r="G1"/>
      <c r="H1" s="21" t="s">
        <v>211</v>
      </c>
      <c r="I1" s="21">
        <v>15000</v>
      </c>
      <c r="L1" s="61" t="s">
        <v>38</v>
      </c>
      <c r="M1" s="62">
        <v>656000</v>
      </c>
      <c r="N1" s="62">
        <f ca="1">SUM(N2+N3)</f>
        <v>741000</v>
      </c>
      <c r="O1" s="62">
        <f ca="1">SUM(O2+O3)</f>
        <v>75000</v>
      </c>
    </row>
    <row r="2" spans="1:15" ht="21.9" customHeight="1" x14ac:dyDescent="0.3">
      <c r="A2" s="172"/>
      <c r="B2" s="173"/>
      <c r="C2" s="79"/>
      <c r="D2" s="79"/>
      <c r="I2" s="82"/>
      <c r="L2" s="21" t="s">
        <v>92</v>
      </c>
      <c r="M2" s="49">
        <v>0</v>
      </c>
      <c r="N2" s="49">
        <f ca="1">SUMIF(K6:K553,"SI",J6:J552)</f>
        <v>75000</v>
      </c>
      <c r="O2" s="49">
        <f ca="1">SUMIF(K6:K553,"SI",J6:J552)</f>
        <v>75000</v>
      </c>
    </row>
    <row r="3" spans="1:15" ht="21.9" customHeight="1" x14ac:dyDescent="0.25">
      <c r="A3" s="94"/>
      <c r="B3" s="94"/>
      <c r="C3" s="79"/>
      <c r="D3" s="79"/>
      <c r="I3" s="82"/>
      <c r="J3" s="82"/>
      <c r="M3" s="49">
        <v>656000</v>
      </c>
      <c r="N3" s="49">
        <f>SUMIF('ALUMNAS '!L6:L552, "SI",'ALUMNAS '!N6:N552)</f>
        <v>666000</v>
      </c>
      <c r="O3" s="49">
        <f>SUMIF('ALUMNAS '!N6:N552, "SI",'ALUMNAS '!L6:L552)</f>
        <v>0</v>
      </c>
    </row>
    <row r="4" spans="1:15" ht="15" x14ac:dyDescent="0.25">
      <c r="N4" s="32"/>
    </row>
    <row r="5" spans="1:15" x14ac:dyDescent="0.3">
      <c r="A5" s="81" t="s">
        <v>82</v>
      </c>
      <c r="B5" s="32" t="s">
        <v>11</v>
      </c>
      <c r="C5" s="81" t="s">
        <v>80</v>
      </c>
      <c r="D5" s="81" t="s">
        <v>81</v>
      </c>
      <c r="E5" s="32" t="s">
        <v>76</v>
      </c>
      <c r="F5" s="32" t="s">
        <v>48</v>
      </c>
      <c r="G5" s="32" t="s">
        <v>109</v>
      </c>
      <c r="H5" s="32" t="s">
        <v>118</v>
      </c>
      <c r="I5" s="48" t="s">
        <v>12</v>
      </c>
      <c r="J5" s="48" t="s">
        <v>210</v>
      </c>
      <c r="K5" s="48" t="s">
        <v>90</v>
      </c>
      <c r="L5" s="48" t="s">
        <v>143</v>
      </c>
      <c r="M5" s="32" t="s">
        <v>270</v>
      </c>
      <c r="N5" s="32" t="s">
        <v>260</v>
      </c>
      <c r="O5" s="32" t="s">
        <v>261</v>
      </c>
    </row>
    <row r="6" spans="1:15" ht="27.9" customHeight="1" x14ac:dyDescent="0.25">
      <c r="A6" s="31" t="s">
        <v>86</v>
      </c>
      <c r="B6" s="30">
        <v>33</v>
      </c>
      <c r="C6" s="31" t="s">
        <v>87</v>
      </c>
      <c r="D6" s="78" t="s">
        <v>88</v>
      </c>
      <c r="E6" s="30">
        <v>1126392925</v>
      </c>
      <c r="F6" s="31" t="s">
        <v>49</v>
      </c>
      <c r="G6" s="31" t="s">
        <v>120</v>
      </c>
      <c r="H6" s="30" t="s">
        <v>36</v>
      </c>
      <c r="I6" s="31" t="str">
        <f>IF(F6="","",IF(F6="Tecnicatura en composición coreográfica en ddv fusión","Jime",CONCATENATE(VLOOKUP(G6,OPCIONES!D:E,2,0),VLOOKUP(H6,OPCIONES!$G$2:$H$8,2,0))))</f>
        <v>Flor</v>
      </c>
      <c r="J6" s="49">
        <f>$I$1</f>
        <v>15000</v>
      </c>
      <c r="K6" s="49" t="s">
        <v>91</v>
      </c>
      <c r="L6" s="49" t="s">
        <v>91</v>
      </c>
      <c r="M6" s="49">
        <v>39000</v>
      </c>
      <c r="N6" s="49">
        <f>IF(F6="","",VLOOKUP(F6,OPCIONES!A:B,2,0))</f>
        <v>39000</v>
      </c>
      <c r="O6" s="49">
        <f>IF(F6="","",VLOOKUP(F6,OPCIONES!A:B,2,0))</f>
        <v>39000</v>
      </c>
    </row>
    <row r="7" spans="1:15" ht="27.9" customHeight="1" x14ac:dyDescent="0.25">
      <c r="A7" s="31" t="s">
        <v>83</v>
      </c>
      <c r="B7" s="30">
        <v>29</v>
      </c>
      <c r="C7" s="31" t="s">
        <v>84</v>
      </c>
      <c r="D7" s="78" t="s">
        <v>85</v>
      </c>
      <c r="E7" s="30">
        <v>1168714794</v>
      </c>
      <c r="F7" s="31" t="s">
        <v>49</v>
      </c>
      <c r="G7" s="31" t="s">
        <v>106</v>
      </c>
      <c r="H7" s="30" t="s">
        <v>43</v>
      </c>
      <c r="I7" s="31" t="str">
        <f>IF(F7="","",IF(F7="Tecnicatura en composición coreográfica en ddv fusión","Jime",CONCATENATE(VLOOKUP(G7,OPCIONES!D:E,2,0),VLOOKUP(H7,OPCIONES!$G$2:$H$8,2,0))))</f>
        <v>Yaneiska</v>
      </c>
      <c r="J7" s="49">
        <f t="shared" ref="J7:J16" si="0">$I$1</f>
        <v>15000</v>
      </c>
      <c r="K7" s="49" t="s">
        <v>91</v>
      </c>
      <c r="L7" s="49" t="s">
        <v>176</v>
      </c>
      <c r="M7" s="49">
        <v>39000</v>
      </c>
      <c r="N7" s="49">
        <f>IF(F7="","",VLOOKUP(F7,OPCIONES!A:B,2,0))</f>
        <v>39000</v>
      </c>
      <c r="O7" s="49">
        <f>IF(F7="","",VLOOKUP(F7,OPCIONES!A:B,2,0))</f>
        <v>39000</v>
      </c>
    </row>
    <row r="8" spans="1:15" ht="27.9" customHeight="1" x14ac:dyDescent="0.25">
      <c r="A8" s="31" t="s">
        <v>167</v>
      </c>
      <c r="B8" s="30">
        <v>68</v>
      </c>
      <c r="C8" s="31" t="s">
        <v>121</v>
      </c>
      <c r="D8" s="78" t="s">
        <v>122</v>
      </c>
      <c r="E8" s="30">
        <v>1151242097</v>
      </c>
      <c r="F8" s="31" t="s">
        <v>250</v>
      </c>
      <c r="G8" s="31" t="s">
        <v>251</v>
      </c>
      <c r="H8" s="30" t="s">
        <v>106</v>
      </c>
      <c r="I8" s="31" t="str">
        <f>IF(F8="","",IF(F8="Tecnicatura en composición coreográfica en ddv fusión","Jime",CONCATENATE(VLOOKUP(G8,OPCIONES!D:E,2,0),VLOOKUP(H8,OPCIONES!$G$2:$H$8,2,0))))</f>
        <v>Asly</v>
      </c>
      <c r="J8" s="49">
        <f t="shared" si="0"/>
        <v>15000</v>
      </c>
      <c r="K8" s="49" t="s">
        <v>91</v>
      </c>
      <c r="L8" s="49" t="s">
        <v>91</v>
      </c>
      <c r="M8" s="49">
        <v>49000</v>
      </c>
      <c r="N8" s="49">
        <f>IF(F8="","",VLOOKUP(F8,OPCIONES!A:B,2,0))</f>
        <v>49000</v>
      </c>
      <c r="O8" s="49">
        <f>IF(F8="","",VLOOKUP(F8,OPCIONES!A:B,2,0))</f>
        <v>49000</v>
      </c>
    </row>
    <row r="9" spans="1:15" ht="27.9" customHeight="1" x14ac:dyDescent="0.25">
      <c r="A9" s="31" t="s">
        <v>140</v>
      </c>
      <c r="B9" s="30">
        <v>29</v>
      </c>
      <c r="C9" s="31" t="s">
        <v>141</v>
      </c>
      <c r="D9" s="78" t="s">
        <v>142</v>
      </c>
      <c r="E9" s="30">
        <v>1135796676</v>
      </c>
      <c r="F9" s="31" t="s">
        <v>250</v>
      </c>
      <c r="G9" s="31" t="s">
        <v>251</v>
      </c>
      <c r="H9" s="30" t="s">
        <v>43</v>
      </c>
      <c r="I9" s="31" t="str">
        <f>IF(F9="","",IF(F9="Tecnicatura en composición coreográfica en ddv fusión","Jime",CONCATENATE(VLOOKUP(G9,OPCIONES!D:E,2,0),VLOOKUP(H9,OPCIONES!$G$2:$H$8,2,0))))</f>
        <v>AslyYaneiska</v>
      </c>
      <c r="J9" s="49">
        <f t="shared" si="0"/>
        <v>15000</v>
      </c>
      <c r="K9" s="49" t="s">
        <v>91</v>
      </c>
      <c r="L9" s="49" t="s">
        <v>176</v>
      </c>
      <c r="M9" s="49">
        <v>49000</v>
      </c>
      <c r="N9" s="49">
        <f>IF(F9="","",VLOOKUP(F9,OPCIONES!A:B,2,0))</f>
        <v>49000</v>
      </c>
      <c r="O9" s="49">
        <f>IF(F9="","",VLOOKUP(F9,OPCIONES!A:B,2,0))</f>
        <v>49000</v>
      </c>
    </row>
    <row r="10" spans="1:15" ht="27.9" customHeight="1" x14ac:dyDescent="0.25">
      <c r="A10" s="31" t="s">
        <v>164</v>
      </c>
      <c r="B10" s="30">
        <v>29</v>
      </c>
      <c r="C10" s="31" t="s">
        <v>168</v>
      </c>
      <c r="D10" s="78" t="s">
        <v>166</v>
      </c>
      <c r="E10" s="30" t="s">
        <v>165</v>
      </c>
      <c r="F10" s="31" t="s">
        <v>49</v>
      </c>
      <c r="G10" s="31" t="s">
        <v>120</v>
      </c>
      <c r="H10" s="30" t="s">
        <v>43</v>
      </c>
      <c r="I10" s="31" t="str">
        <f>IF(F10="","",IF(F10="Tecnicatura en composición coreográfica en ddv fusión","Jime",CONCATENATE(VLOOKUP(G10,OPCIONES!D:E,2,0),VLOOKUP(H10,OPCIONES!$G$2:$H$8,2,0))))</f>
        <v>Yaneiska</v>
      </c>
      <c r="J10" s="49">
        <f t="shared" si="0"/>
        <v>15000</v>
      </c>
      <c r="K10" s="49" t="s">
        <v>91</v>
      </c>
      <c r="L10" s="49" t="s">
        <v>91</v>
      </c>
      <c r="M10" s="49">
        <v>39000</v>
      </c>
      <c r="N10" s="49">
        <f>IF(F10="","",VLOOKUP(F10,OPCIONES!A:B,2,0))</f>
        <v>39000</v>
      </c>
      <c r="O10" s="49">
        <f>IF(F10="","",VLOOKUP(F10,OPCIONES!A:B,2,0))</f>
        <v>39000</v>
      </c>
    </row>
    <row r="11" spans="1:15" ht="27.9" customHeight="1" x14ac:dyDescent="0.3">
      <c r="A11" s="31" t="s">
        <v>203</v>
      </c>
      <c r="B11" s="30">
        <v>46</v>
      </c>
      <c r="C11" s="31" t="s">
        <v>205</v>
      </c>
      <c r="D11" s="78" t="s">
        <v>204</v>
      </c>
      <c r="E11" s="30">
        <v>1162733885</v>
      </c>
      <c r="F11" s="31" t="s">
        <v>6</v>
      </c>
      <c r="G11" s="31" t="s">
        <v>120</v>
      </c>
      <c r="H11" s="30" t="s">
        <v>40</v>
      </c>
      <c r="I11" s="31" t="str">
        <f>IF(F11="","",IF(F11="Tecnicatura en composición coreográfica en ddv fusión","Jime",CONCATENATE(VLOOKUP(G11,OPCIONES!D:E,2,0),VLOOKUP(H11,OPCIONES!$G$2:$H$8,2,0))))</f>
        <v>Yaneiska</v>
      </c>
      <c r="J11" s="49">
        <f t="shared" si="0"/>
        <v>15000</v>
      </c>
      <c r="K11" s="49" t="s">
        <v>91</v>
      </c>
      <c r="L11" s="49" t="s">
        <v>176</v>
      </c>
      <c r="M11" s="49">
        <v>59000</v>
      </c>
      <c r="N11" s="49">
        <f>IF(F11="","",VLOOKUP(F11,OPCIONES!A:B,2,0))</f>
        <v>59000</v>
      </c>
      <c r="O11" s="49">
        <f>IF(F11="","",VLOOKUP(F11,OPCIONES!A:B,2,0))</f>
        <v>59000</v>
      </c>
    </row>
    <row r="12" spans="1:15" ht="27.9" customHeight="1" x14ac:dyDescent="0.3">
      <c r="A12" s="31" t="s">
        <v>206</v>
      </c>
      <c r="B12" s="30">
        <v>19</v>
      </c>
      <c r="C12" s="31" t="s">
        <v>207</v>
      </c>
      <c r="D12" s="78" t="s">
        <v>208</v>
      </c>
      <c r="E12" s="30" t="s">
        <v>209</v>
      </c>
      <c r="F12" s="31" t="s">
        <v>6</v>
      </c>
      <c r="G12" s="31" t="s">
        <v>120</v>
      </c>
      <c r="H12" s="30" t="s">
        <v>40</v>
      </c>
      <c r="I12" s="31" t="str">
        <f>IF(F12="","",IF(F12="Tecnicatura en composición coreográfica en ddv fusión","Jime",CONCATENATE(VLOOKUP(G12,OPCIONES!D:E,2,0),VLOOKUP(H12,OPCIONES!$G$2:$H$8,2,0))))</f>
        <v>Yaneiska</v>
      </c>
      <c r="J12" s="49">
        <f t="shared" si="0"/>
        <v>15000</v>
      </c>
      <c r="K12" s="49" t="s">
        <v>91</v>
      </c>
      <c r="L12" s="49" t="s">
        <v>176</v>
      </c>
      <c r="M12" s="49">
        <v>59000</v>
      </c>
      <c r="N12" s="49">
        <f>IF(F12="","",VLOOKUP(F12,OPCIONES!A:B,2,0))</f>
        <v>59000</v>
      </c>
      <c r="O12" s="49">
        <f>IF(F12="","",VLOOKUP(F12,OPCIONES!A:B,2,0))</f>
        <v>59000</v>
      </c>
    </row>
    <row r="13" spans="1:15" ht="27.9" customHeight="1" x14ac:dyDescent="0.3">
      <c r="A13" s="31" t="s">
        <v>228</v>
      </c>
      <c r="B13" s="30"/>
      <c r="C13" s="31"/>
      <c r="D13" s="31"/>
      <c r="E13" s="30">
        <v>1135041213</v>
      </c>
      <c r="F13" s="31" t="s">
        <v>49</v>
      </c>
      <c r="G13" s="31" t="s">
        <v>251</v>
      </c>
      <c r="H13" s="30" t="s">
        <v>106</v>
      </c>
      <c r="I13" s="31" t="str">
        <f>IF(F13="","",IF(F13="Tecnicatura en composición coreográfica en ddv fusión","Jime",CONCATENATE(VLOOKUP(G13,OPCIONES!D:E,2,0),VLOOKUP(H13,OPCIONES!$G$2:$H$8,2,0))))</f>
        <v>Asly</v>
      </c>
      <c r="J13" s="49">
        <f t="shared" si="0"/>
        <v>15000</v>
      </c>
      <c r="K13" s="49" t="s">
        <v>91</v>
      </c>
      <c r="L13" s="49" t="s">
        <v>176</v>
      </c>
      <c r="M13" s="49">
        <v>49000</v>
      </c>
      <c r="N13" s="49">
        <f>IF(F13="","",VLOOKUP(F13,OPCIONES!A:B,2,0))</f>
        <v>39000</v>
      </c>
      <c r="O13" s="49">
        <f>IF(F13="","",VLOOKUP(F13,OPCIONES!A:B,2,0))</f>
        <v>39000</v>
      </c>
    </row>
    <row r="14" spans="1:15" ht="27.9" customHeight="1" x14ac:dyDescent="0.25">
      <c r="A14" s="31" t="s">
        <v>234</v>
      </c>
      <c r="B14" s="30">
        <v>33</v>
      </c>
      <c r="C14" s="31" t="s">
        <v>253</v>
      </c>
      <c r="D14" s="78" t="s">
        <v>235</v>
      </c>
      <c r="E14" s="30">
        <v>1156350403</v>
      </c>
      <c r="F14" s="31" t="s">
        <v>49</v>
      </c>
      <c r="G14" s="31" t="s">
        <v>233</v>
      </c>
      <c r="H14" s="30" t="s">
        <v>106</v>
      </c>
      <c r="I14" s="31" t="str">
        <f>IF(F14="","",IF(F14="Tecnicatura en composición coreográfica en ddv fusión","Jime",CONCATENATE(VLOOKUP(G14,OPCIONES!D:E,2,0),VLOOKUP(H14,OPCIONES!$G$2:$H$8,2,0))))</f>
        <v>Jime,</v>
      </c>
      <c r="J14" s="49">
        <f t="shared" si="0"/>
        <v>15000</v>
      </c>
      <c r="K14" s="49" t="s">
        <v>91</v>
      </c>
      <c r="L14" s="49" t="s">
        <v>176</v>
      </c>
      <c r="M14" s="49">
        <v>39000</v>
      </c>
      <c r="N14" s="49">
        <f>IF(F14="","",VLOOKUP(F14,OPCIONES!A:B,2,0))</f>
        <v>39000</v>
      </c>
      <c r="O14" s="49">
        <f>IF(F14="","",VLOOKUP(F14,OPCIONES!A:B,2,0))</f>
        <v>39000</v>
      </c>
    </row>
    <row r="15" spans="1:15" ht="27.9" customHeight="1" x14ac:dyDescent="0.3">
      <c r="A15" s="31" t="s">
        <v>237</v>
      </c>
      <c r="B15" s="30">
        <v>46</v>
      </c>
      <c r="C15" s="31" t="s">
        <v>238</v>
      </c>
      <c r="D15" s="78" t="s">
        <v>239</v>
      </c>
      <c r="E15" s="30">
        <v>1136765517</v>
      </c>
      <c r="F15" s="31" t="s">
        <v>6</v>
      </c>
      <c r="G15" s="31" t="s">
        <v>120</v>
      </c>
      <c r="H15" s="30" t="s">
        <v>42</v>
      </c>
      <c r="I15" s="31" t="str">
        <f>IF(F15="","",IF(F15="Tecnicatura en composición coreográfica en ddv fusión","Jime",CONCATENATE(VLOOKUP(G15,OPCIONES!D:E,2,0),VLOOKUP(H15,OPCIONES!$G$2:$H$8,2,0))))</f>
        <v>Yaneiska</v>
      </c>
      <c r="J15" s="49">
        <f t="shared" si="0"/>
        <v>15000</v>
      </c>
      <c r="K15" s="49" t="s">
        <v>91</v>
      </c>
      <c r="L15" s="49" t="s">
        <v>176</v>
      </c>
      <c r="M15" s="49">
        <v>59000</v>
      </c>
      <c r="N15" s="49">
        <f>IF(F15="","",VLOOKUP(F15,OPCIONES!A:B,2,0))</f>
        <v>59000</v>
      </c>
      <c r="O15" s="49">
        <f>IF(F15="","",VLOOKUP(F15,OPCIONES!A:B,2,0))</f>
        <v>59000</v>
      </c>
    </row>
    <row r="16" spans="1:15" ht="27.9" customHeight="1" x14ac:dyDescent="0.25">
      <c r="A16" s="31" t="s">
        <v>240</v>
      </c>
      <c r="B16" s="30">
        <v>37</v>
      </c>
      <c r="C16" s="31" t="s">
        <v>241</v>
      </c>
      <c r="D16" s="78" t="s">
        <v>242</v>
      </c>
      <c r="E16" s="30">
        <v>3516138932</v>
      </c>
      <c r="F16" s="31" t="s">
        <v>250</v>
      </c>
      <c r="G16" s="31" t="s">
        <v>120</v>
      </c>
      <c r="H16" s="30" t="s">
        <v>42</v>
      </c>
      <c r="I16" s="31" t="str">
        <f>IF(F16="","",IF(F16="Tecnicatura en composición coreográfica en ddv fusión","Jime",CONCATENATE(VLOOKUP(G16,OPCIONES!D:E,2,0),VLOOKUP(H16,OPCIONES!$G$2:$H$8,2,0))))</f>
        <v>Yaneiska</v>
      </c>
      <c r="J16" s="49">
        <f t="shared" si="0"/>
        <v>15000</v>
      </c>
      <c r="K16" s="49" t="s">
        <v>91</v>
      </c>
      <c r="L16" s="49" t="s">
        <v>176</v>
      </c>
      <c r="M16" s="49">
        <v>49000</v>
      </c>
      <c r="N16" s="49">
        <f>IF(F16="","",VLOOKUP(F16,OPCIONES!A:B,2,0))</f>
        <v>49000</v>
      </c>
      <c r="O16" s="49">
        <f>IF(F16="","",VLOOKUP(F16,OPCIONES!A:B,2,0))</f>
        <v>49000</v>
      </c>
    </row>
    <row r="17" spans="1:15" ht="27.9" customHeight="1" x14ac:dyDescent="0.3">
      <c r="A17" s="31" t="s">
        <v>255</v>
      </c>
      <c r="B17" s="30">
        <v>27</v>
      </c>
      <c r="C17" s="31" t="s">
        <v>256</v>
      </c>
      <c r="D17" s="78" t="s">
        <v>257</v>
      </c>
      <c r="E17" s="30">
        <v>1127687922</v>
      </c>
      <c r="F17" s="31" t="s">
        <v>49</v>
      </c>
      <c r="G17" s="31" t="s">
        <v>120</v>
      </c>
      <c r="H17" s="30" t="s">
        <v>40</v>
      </c>
      <c r="I17" s="31" t="str">
        <f>IF(F17="","",IF(F17="Tecnicatura en composición coreográfica en ddv fusión","Jime",CONCATENATE(VLOOKUP(G17,OPCIONES!D:E,2,0),VLOOKUP(H17,OPCIONES!$G$2:$H$8,2,0))))</f>
        <v>Yaneiska</v>
      </c>
      <c r="J17" s="49">
        <f t="shared" ref="J17:J69" si="1">$I$1</f>
        <v>15000</v>
      </c>
      <c r="K17" s="49" t="s">
        <v>91</v>
      </c>
      <c r="L17" s="49" t="s">
        <v>91</v>
      </c>
      <c r="M17" s="49">
        <v>39000</v>
      </c>
      <c r="N17" s="49">
        <f>IF(F17="","",VLOOKUP(F17,OPCIONES!A:B,2,0))</f>
        <v>39000</v>
      </c>
      <c r="O17" s="49">
        <f>IF(F17="","",VLOOKUP(F17,OPCIONES!A:B,2,0))</f>
        <v>39000</v>
      </c>
    </row>
    <row r="18" spans="1:15" ht="27.9" customHeight="1" x14ac:dyDescent="0.3">
      <c r="A18" s="31" t="s">
        <v>258</v>
      </c>
      <c r="B18" s="30"/>
      <c r="C18" s="31"/>
      <c r="D18" s="31"/>
      <c r="E18" s="30"/>
      <c r="F18" s="31" t="s">
        <v>49</v>
      </c>
      <c r="G18" s="31" t="s">
        <v>120</v>
      </c>
      <c r="H18" s="30" t="s">
        <v>40</v>
      </c>
      <c r="I18" s="31" t="str">
        <f>IF(F18="","",IF(F18="Tecnicatura en composición coreográfica en ddv fusión","Jime",CONCATENATE(VLOOKUP(G18,OPCIONES!D:E,2,0),VLOOKUP(H18,OPCIONES!$G$2:$H$8,2,0))))</f>
        <v>Yaneiska</v>
      </c>
      <c r="J18" s="49">
        <f t="shared" si="1"/>
        <v>15000</v>
      </c>
      <c r="K18" s="49" t="s">
        <v>176</v>
      </c>
      <c r="L18" s="49" t="s">
        <v>91</v>
      </c>
      <c r="M18" s="49">
        <v>39000</v>
      </c>
      <c r="N18" s="49">
        <f>IF(F18="","",VLOOKUP(F18,OPCIONES!A:B,2,0))</f>
        <v>39000</v>
      </c>
      <c r="O18" s="49">
        <f>IF(F18="","",VLOOKUP(F18,OPCIONES!A:B,2,0))</f>
        <v>39000</v>
      </c>
    </row>
    <row r="19" spans="1:15" ht="27.9" customHeight="1" x14ac:dyDescent="0.3">
      <c r="A19" s="31" t="s">
        <v>259</v>
      </c>
      <c r="B19" s="30"/>
      <c r="C19" s="31"/>
      <c r="D19" s="31"/>
      <c r="E19" s="30"/>
      <c r="F19" s="31" t="s">
        <v>49</v>
      </c>
      <c r="G19" s="31" t="s">
        <v>120</v>
      </c>
      <c r="H19" s="30" t="s">
        <v>40</v>
      </c>
      <c r="I19" s="31" t="str">
        <f>IF(F19="","",IF(F19="Tecnicatura en composición coreográfica en ddv fusión","Jime",CONCATENATE(VLOOKUP(G19,OPCIONES!D:E,2,0),VLOOKUP(H19,OPCIONES!$G$2:$H$8,2,0))))</f>
        <v>Yaneiska</v>
      </c>
      <c r="J19" s="49">
        <f t="shared" si="1"/>
        <v>15000</v>
      </c>
      <c r="K19" s="49" t="s">
        <v>91</v>
      </c>
      <c r="L19" s="49" t="s">
        <v>263</v>
      </c>
      <c r="M19" s="129">
        <v>30000</v>
      </c>
      <c r="N19" s="49">
        <f>IF(F19="","",VLOOKUP(F19,OPCIONES!A:B,2,0))</f>
        <v>39000</v>
      </c>
      <c r="O19" s="49">
        <f>IF(F19="","",VLOOKUP(F19,OPCIONES!A:B,2,0))</f>
        <v>39000</v>
      </c>
    </row>
    <row r="20" spans="1:15" ht="27.9" customHeight="1" x14ac:dyDescent="0.3">
      <c r="A20" s="31" t="s">
        <v>283</v>
      </c>
      <c r="B20" s="30"/>
      <c r="C20" s="31"/>
      <c r="D20" s="31"/>
      <c r="E20" s="30"/>
      <c r="F20" s="31" t="s">
        <v>49</v>
      </c>
      <c r="G20" s="31" t="s">
        <v>44</v>
      </c>
      <c r="H20" s="30" t="s">
        <v>106</v>
      </c>
      <c r="I20" s="31" t="str">
        <f>IF(F20="","",IF(F20="Tecnicatura en composición coreográfica en ddv fusión","Jime",CONCATENATE(VLOOKUP(G20,OPCIONES!D:E,2,0),VLOOKUP(H20,OPCIONES!$G$2:$H$8,2,0))))</f>
        <v>Jime,</v>
      </c>
      <c r="J20" s="49">
        <f t="shared" si="1"/>
        <v>15000</v>
      </c>
      <c r="K20" s="49" t="s">
        <v>91</v>
      </c>
      <c r="L20" s="49" t="s">
        <v>176</v>
      </c>
      <c r="M20" s="49" t="s">
        <v>254</v>
      </c>
      <c r="N20" s="49">
        <f>IF(F20="","",VLOOKUP(F20,OPCIONES!A:B,2,0))</f>
        <v>39000</v>
      </c>
      <c r="O20" s="49">
        <f>IF(F20="","",VLOOKUP(F20,OPCIONES!A:B,2,0))</f>
        <v>39000</v>
      </c>
    </row>
    <row r="21" spans="1:15" ht="27.9" customHeight="1" x14ac:dyDescent="0.3">
      <c r="A21" s="31" t="s">
        <v>284</v>
      </c>
      <c r="B21" s="30"/>
      <c r="C21" s="31"/>
      <c r="D21" s="31"/>
      <c r="E21" s="30"/>
      <c r="F21" s="31" t="s">
        <v>49</v>
      </c>
      <c r="G21" s="31" t="s">
        <v>44</v>
      </c>
      <c r="H21" s="30" t="s">
        <v>106</v>
      </c>
      <c r="I21" s="31" t="str">
        <f>IF(F21="","",IF(F21="Tecnicatura en composición coreográfica en ddv fusión","Jime",CONCATENATE(VLOOKUP(G21,OPCIONES!D:E,2,0),VLOOKUP(H21,OPCIONES!$G$2:$H$8,2,0))))</f>
        <v>Jime,</v>
      </c>
      <c r="J21" s="49">
        <f t="shared" si="1"/>
        <v>15000</v>
      </c>
      <c r="K21" s="49" t="s">
        <v>91</v>
      </c>
      <c r="L21" s="49" t="s">
        <v>176</v>
      </c>
      <c r="M21" s="49" t="s">
        <v>254</v>
      </c>
      <c r="N21" s="49">
        <f>IF(F21="","",VLOOKUP(F21,OPCIONES!A:B,2,0))</f>
        <v>39000</v>
      </c>
      <c r="O21" s="49">
        <f>IF(F21="","",VLOOKUP(F21,OPCIONES!A:B,2,0))</f>
        <v>39000</v>
      </c>
    </row>
    <row r="22" spans="1:15" ht="27.9" customHeight="1" x14ac:dyDescent="0.3">
      <c r="A22" s="31" t="s">
        <v>285</v>
      </c>
      <c r="B22" s="30"/>
      <c r="C22" s="31"/>
      <c r="D22" s="31"/>
      <c r="E22" s="30"/>
      <c r="F22" s="31" t="s">
        <v>49</v>
      </c>
      <c r="G22" s="31" t="s">
        <v>44</v>
      </c>
      <c r="H22" s="30" t="s">
        <v>106</v>
      </c>
      <c r="I22" s="31" t="str">
        <f>IF(F22="","",IF(F22="Tecnicatura en composición coreográfica en ddv fusión","Jime",CONCATENATE(VLOOKUP(G22,OPCIONES!D:E,2,0),VLOOKUP(H22,OPCIONES!$G$2:$H$8,2,0))))</f>
        <v>Jime,</v>
      </c>
      <c r="J22" s="49">
        <f t="shared" si="1"/>
        <v>15000</v>
      </c>
      <c r="K22" s="49" t="s">
        <v>263</v>
      </c>
      <c r="L22" s="49" t="s">
        <v>264</v>
      </c>
      <c r="M22" s="49" t="s">
        <v>254</v>
      </c>
      <c r="N22" s="49">
        <f>IF(F22="","",VLOOKUP(F22,OPCIONES!A:B,2,0))</f>
        <v>39000</v>
      </c>
      <c r="O22" s="49">
        <f>IF(F22="","",VLOOKUP(F22,OPCIONES!A:B,2,0))</f>
        <v>39000</v>
      </c>
    </row>
    <row r="23" spans="1:15" ht="27.9" customHeight="1" x14ac:dyDescent="0.3">
      <c r="A23" s="31" t="s">
        <v>286</v>
      </c>
      <c r="B23" s="30"/>
      <c r="C23" s="31"/>
      <c r="D23" s="31"/>
      <c r="E23" s="30"/>
      <c r="F23" s="31" t="s">
        <v>49</v>
      </c>
      <c r="G23" s="31" t="s">
        <v>44</v>
      </c>
      <c r="H23" s="30" t="s">
        <v>106</v>
      </c>
      <c r="I23" s="31" t="str">
        <f>IF(F23="","",IF(F23="Tecnicatura en composición coreográfica en ddv fusión","Jime",CONCATENATE(VLOOKUP(G23,OPCIONES!D:E,2,0),VLOOKUP(H23,OPCIONES!$G$2:$H$8,2,0))))</f>
        <v>Jime,</v>
      </c>
      <c r="J23" s="49">
        <f t="shared" si="1"/>
        <v>15000</v>
      </c>
      <c r="K23" s="49" t="s">
        <v>91</v>
      </c>
      <c r="L23" s="49" t="s">
        <v>176</v>
      </c>
      <c r="M23" s="49" t="s">
        <v>254</v>
      </c>
      <c r="N23" s="49">
        <f>IF(F23="","",VLOOKUP(F23,OPCIONES!A:B,2,0))</f>
        <v>39000</v>
      </c>
    </row>
    <row r="24" spans="1:15" ht="27.9" customHeight="1" x14ac:dyDescent="0.3">
      <c r="A24" s="31" t="s">
        <v>287</v>
      </c>
      <c r="B24" s="30"/>
      <c r="C24" s="31"/>
      <c r="D24" s="31"/>
      <c r="E24" s="30"/>
      <c r="F24" s="31" t="s">
        <v>250</v>
      </c>
      <c r="G24" s="31" t="s">
        <v>120</v>
      </c>
      <c r="H24" s="30" t="s">
        <v>47</v>
      </c>
      <c r="I24" s="31" t="str">
        <f>IF(F24="","",IF(F24="Tecnicatura en composición coreográfica en ddv fusión","Jime",CONCATENATE(VLOOKUP(G24,OPCIONES!D:E,2,0),VLOOKUP(H24,OPCIONES!$G$2:$H$8,2,0))))</f>
        <v>Yaneiska</v>
      </c>
      <c r="J24" s="49">
        <f t="shared" si="1"/>
        <v>15000</v>
      </c>
      <c r="K24" s="49" t="s">
        <v>91</v>
      </c>
      <c r="L24" s="49" t="s">
        <v>176</v>
      </c>
      <c r="M24" s="49" t="s">
        <v>254</v>
      </c>
      <c r="N24" s="49">
        <v>30000</v>
      </c>
    </row>
    <row r="25" spans="1:15" ht="27.9" customHeight="1" x14ac:dyDescent="0.3">
      <c r="A25" s="31" t="s">
        <v>288</v>
      </c>
      <c r="B25" s="30"/>
      <c r="C25" s="31"/>
      <c r="D25" s="31"/>
      <c r="E25" s="30"/>
      <c r="F25" s="31" t="s">
        <v>49</v>
      </c>
      <c r="G25" s="31" t="s">
        <v>120</v>
      </c>
      <c r="H25" s="30" t="s">
        <v>40</v>
      </c>
      <c r="I25" s="31" t="str">
        <f>IF(F25="","",IF(F25="Tecnicatura en composición coreográfica en ddv fusión","Jime",CONCATENATE(VLOOKUP(G25,OPCIONES!D:E,2,0),VLOOKUP(H25,OPCIONES!$G$2:$H$8,2,0))))</f>
        <v>Yaneiska</v>
      </c>
      <c r="J25" s="49">
        <f t="shared" si="1"/>
        <v>15000</v>
      </c>
      <c r="K25" s="49" t="s">
        <v>263</v>
      </c>
      <c r="L25" s="49" t="s">
        <v>264</v>
      </c>
      <c r="M25" s="49" t="s">
        <v>254</v>
      </c>
      <c r="N25" s="49">
        <f>IF(F25="","",VLOOKUP(F25,OPCIONES!A:B,2,0))</f>
        <v>39000</v>
      </c>
    </row>
    <row r="26" spans="1:15" ht="27.9" customHeight="1" x14ac:dyDescent="0.3">
      <c r="A26" s="31" t="s">
        <v>289</v>
      </c>
      <c r="B26" s="30"/>
      <c r="C26" s="31"/>
      <c r="D26" s="31"/>
      <c r="E26" s="30"/>
      <c r="F26" s="31" t="s">
        <v>49</v>
      </c>
      <c r="G26" s="31" t="s">
        <v>120</v>
      </c>
      <c r="H26" s="30" t="s">
        <v>40</v>
      </c>
      <c r="I26" s="31" t="str">
        <f>IF(F26="","",IF(F26="Tecnicatura en composición coreográfica en ddv fusión","Jime",CONCATENATE(VLOOKUP(G26,OPCIONES!D:E,2,0),VLOOKUP(H26,OPCIONES!$G$2:$H$8,2,0))))</f>
        <v>Yaneiska</v>
      </c>
      <c r="J26" s="49">
        <f t="shared" si="1"/>
        <v>15000</v>
      </c>
      <c r="K26" s="49" t="s">
        <v>263</v>
      </c>
      <c r="L26" s="49" t="s">
        <v>264</v>
      </c>
      <c r="M26" s="49" t="s">
        <v>254</v>
      </c>
      <c r="N26" s="49">
        <f>IF(F26="","",VLOOKUP(F26,OPCIONES!A:B,2,0))</f>
        <v>39000</v>
      </c>
    </row>
    <row r="27" spans="1:15" ht="27.9" customHeight="1" x14ac:dyDescent="0.3">
      <c r="A27" s="31" t="s">
        <v>290</v>
      </c>
      <c r="B27" s="30"/>
      <c r="C27" s="31"/>
      <c r="D27" s="31"/>
      <c r="E27" s="30"/>
      <c r="F27" s="31" t="s">
        <v>49</v>
      </c>
      <c r="G27" s="31" t="s">
        <v>44</v>
      </c>
      <c r="H27" s="30" t="s">
        <v>106</v>
      </c>
      <c r="I27" s="31" t="str">
        <f>IF(F27="","",IF(F27="Tecnicatura en composición coreográfica en ddv fusión","Jime",CONCATENATE(VLOOKUP(G27,OPCIONES!D:E,2,0),VLOOKUP(H27,OPCIONES!$G$2:$H$8,2,0))))</f>
        <v>Jime,</v>
      </c>
      <c r="J27" s="49">
        <f t="shared" si="1"/>
        <v>15000</v>
      </c>
      <c r="K27" s="49" t="s">
        <v>263</v>
      </c>
      <c r="L27" s="49" t="s">
        <v>264</v>
      </c>
      <c r="M27" s="49" t="s">
        <v>254</v>
      </c>
      <c r="N27" s="49">
        <f>IF(F27="","",VLOOKUP(F27,OPCIONES!A:B,2,0))</f>
        <v>39000</v>
      </c>
    </row>
    <row r="28" spans="1:15" ht="27.9" customHeight="1" x14ac:dyDescent="0.3">
      <c r="A28" s="31" t="s">
        <v>291</v>
      </c>
      <c r="B28" s="30"/>
      <c r="C28" s="31"/>
      <c r="D28" s="31"/>
      <c r="E28" s="30"/>
      <c r="F28" s="31" t="s">
        <v>250</v>
      </c>
      <c r="G28" s="31" t="s">
        <v>251</v>
      </c>
      <c r="H28" s="30" t="s">
        <v>106</v>
      </c>
      <c r="I28" s="31" t="str">
        <f>IF(F28="","",IF(F28="Tecnicatura en composición coreográfica en ddv fusión","Jime",CONCATENATE(VLOOKUP(G28,OPCIONES!D:E,2,0),VLOOKUP(H28,OPCIONES!$G$2:$H$8,2,0))))</f>
        <v>Asly</v>
      </c>
      <c r="J28" s="49">
        <f t="shared" si="1"/>
        <v>15000</v>
      </c>
      <c r="K28" s="49" t="s">
        <v>91</v>
      </c>
      <c r="L28" s="49" t="s">
        <v>176</v>
      </c>
      <c r="M28" s="49" t="s">
        <v>254</v>
      </c>
      <c r="N28" s="49">
        <f>IF(F28="","",VLOOKUP(F28,OPCIONES!A:B,2,0))</f>
        <v>49000</v>
      </c>
    </row>
    <row r="29" spans="1:15" ht="27.9" customHeight="1" x14ac:dyDescent="0.3">
      <c r="A29" s="31" t="s">
        <v>292</v>
      </c>
      <c r="B29" s="30"/>
      <c r="C29" s="31"/>
      <c r="D29" s="31"/>
      <c r="E29" s="30"/>
      <c r="F29" s="31" t="s">
        <v>49</v>
      </c>
      <c r="G29" s="31" t="s">
        <v>252</v>
      </c>
      <c r="H29" s="30" t="s">
        <v>106</v>
      </c>
      <c r="I29" s="31" t="str">
        <f>IF(F29="","",IF(F29="Tecnicatura en composición coreográfica en ddv fusión","Jime",CONCATENATE(VLOOKUP(G29,OPCIONES!D:E,2,0),VLOOKUP(H29,OPCIONES!$G$2:$H$8,2,0))))</f>
        <v>Asly</v>
      </c>
      <c r="J29" s="49">
        <f t="shared" si="1"/>
        <v>15000</v>
      </c>
      <c r="K29" s="49" t="s">
        <v>91</v>
      </c>
      <c r="L29" s="49" t="s">
        <v>176</v>
      </c>
      <c r="M29" s="49" t="s">
        <v>254</v>
      </c>
      <c r="N29" s="49">
        <f>IF(F29="","",VLOOKUP(F29,OPCIONES!A:B,2,0))</f>
        <v>39000</v>
      </c>
    </row>
    <row r="30" spans="1:15" ht="27.9" customHeight="1" x14ac:dyDescent="0.3">
      <c r="A30" s="31"/>
      <c r="B30" s="30"/>
      <c r="C30" s="31"/>
      <c r="D30" s="31"/>
      <c r="E30" s="30"/>
      <c r="F30" s="31"/>
      <c r="G30" s="31"/>
      <c r="H30" s="30"/>
      <c r="I30" s="31" t="str">
        <f>IF(F30="","",IF(F30="Tecnicatura en composición coreográfica en ddv fusión","Jime",CONCATENATE(VLOOKUP(G30,OPCIONES!D:E,2,0),VLOOKUP(H30,OPCIONES!$G$2:$H$8,2,0))))</f>
        <v/>
      </c>
      <c r="J30" s="49">
        <f t="shared" si="1"/>
        <v>15000</v>
      </c>
      <c r="K30" s="49" t="s">
        <v>91</v>
      </c>
      <c r="L30" s="49" t="s">
        <v>176</v>
      </c>
      <c r="M30" s="49" t="s">
        <v>254</v>
      </c>
      <c r="N30" s="49" t="str">
        <f>IF(F30="","",VLOOKUP(F30,OPCIONES!A:B,2,0))</f>
        <v/>
      </c>
    </row>
    <row r="31" spans="1:15" ht="27.9" customHeight="1" x14ac:dyDescent="0.3">
      <c r="A31" s="31"/>
      <c r="B31" s="30"/>
      <c r="C31" s="31"/>
      <c r="D31" s="31"/>
      <c r="E31" s="30"/>
      <c r="F31" s="31"/>
      <c r="G31" s="31"/>
      <c r="H31" s="30"/>
      <c r="I31" s="31" t="str">
        <f>IF(F31="","",IF(F31="Tecnicatura en composición coreográfica en ddv fusión","Jime",CONCATENATE(VLOOKUP(G31,OPCIONES!D:E,2,0),VLOOKUP(H31,OPCIONES!$G$2:$H$8,2,0))))</f>
        <v/>
      </c>
      <c r="J31" s="49">
        <f t="shared" si="1"/>
        <v>15000</v>
      </c>
      <c r="K31" s="49" t="s">
        <v>91</v>
      </c>
      <c r="L31" s="49" t="s">
        <v>176</v>
      </c>
      <c r="M31" s="49" t="s">
        <v>254</v>
      </c>
      <c r="N31" s="49" t="str">
        <f>IF(F31="","",VLOOKUP(F31,OPCIONES!A:B,2,0))</f>
        <v/>
      </c>
    </row>
    <row r="32" spans="1:15" ht="27.9" customHeight="1" x14ac:dyDescent="0.3">
      <c r="A32" s="31"/>
      <c r="B32" s="30"/>
      <c r="C32" s="31"/>
      <c r="D32" s="31"/>
      <c r="E32" s="30"/>
      <c r="F32" s="31"/>
      <c r="G32" s="31"/>
      <c r="H32" s="30"/>
      <c r="I32" s="31" t="str">
        <f>IF(F32="","",IF(F32="Tecnicatura en composición coreográfica en ddv fusión","Jime",CONCATENATE(VLOOKUP(G32,OPCIONES!D:E,2,0),VLOOKUP(H32,OPCIONES!$G$2:$H$8,2,0))))</f>
        <v/>
      </c>
      <c r="J32" s="49">
        <f t="shared" si="1"/>
        <v>15000</v>
      </c>
      <c r="K32" s="49" t="s">
        <v>91</v>
      </c>
      <c r="L32" s="49" t="s">
        <v>176</v>
      </c>
      <c r="M32" s="49" t="s">
        <v>254</v>
      </c>
      <c r="N32" s="49" t="str">
        <f>IF(F32="","",VLOOKUP(F32,OPCIONES!A:B,2,0))</f>
        <v/>
      </c>
    </row>
    <row r="33" spans="1:14" ht="27.9" customHeight="1" x14ac:dyDescent="0.3">
      <c r="A33" s="31"/>
      <c r="B33" s="30"/>
      <c r="C33" s="31"/>
      <c r="D33" s="31"/>
      <c r="E33" s="30"/>
      <c r="F33" s="31"/>
      <c r="G33" s="31"/>
      <c r="H33" s="30"/>
      <c r="I33" s="31" t="str">
        <f>IF(F33="","",IF(F33="Tecnicatura en composición coreográfica en ddv fusión","Jime",CONCATENATE(VLOOKUP(G33,OPCIONES!D:E,2,0),VLOOKUP(H33,OPCIONES!$G$2:$H$8,2,0))))</f>
        <v/>
      </c>
      <c r="J33" s="49">
        <f t="shared" si="1"/>
        <v>15000</v>
      </c>
      <c r="K33" s="49" t="s">
        <v>91</v>
      </c>
      <c r="L33" s="49" t="s">
        <v>176</v>
      </c>
      <c r="M33" s="49" t="s">
        <v>254</v>
      </c>
      <c r="N33" s="49" t="str">
        <f>IF(F33="","",VLOOKUP(F33,OPCIONES!A:B,2,0))</f>
        <v/>
      </c>
    </row>
    <row r="34" spans="1:14" ht="27.9" customHeight="1" x14ac:dyDescent="0.3">
      <c r="A34" s="31"/>
      <c r="B34" s="30"/>
      <c r="C34" s="31"/>
      <c r="D34" s="31"/>
      <c r="E34" s="30"/>
      <c r="F34" s="31"/>
      <c r="G34" s="31"/>
      <c r="H34" s="30"/>
      <c r="I34" s="31" t="str">
        <f>IF(F34="","",IF(F34="Tecnicatura en composición coreográfica en ddv fusión","Jime",CONCATENATE(VLOOKUP(G34,OPCIONES!D:E,2,0),VLOOKUP(H34,OPCIONES!$G$2:$H$8,2,0))))</f>
        <v/>
      </c>
      <c r="J34" s="49">
        <f t="shared" si="1"/>
        <v>15000</v>
      </c>
      <c r="K34" s="49" t="s">
        <v>91</v>
      </c>
      <c r="L34" s="49" t="s">
        <v>176</v>
      </c>
      <c r="M34" s="49" t="s">
        <v>254</v>
      </c>
      <c r="N34" s="49" t="str">
        <f>IF(F34="","",VLOOKUP(F34,OPCIONES!A:B,2,0))</f>
        <v/>
      </c>
    </row>
    <row r="35" spans="1:14" ht="27.9" customHeight="1" x14ac:dyDescent="0.3">
      <c r="A35" s="31"/>
      <c r="B35" s="30"/>
      <c r="C35" s="31"/>
      <c r="D35" s="31"/>
      <c r="E35" s="30"/>
      <c r="F35" s="31"/>
      <c r="G35" s="31"/>
      <c r="H35" s="30"/>
      <c r="I35" s="31" t="str">
        <f>IF(F35="","",IF(F35="Tecnicatura en composición coreográfica en ddv fusión","Jime",CONCATENATE(VLOOKUP(G35,OPCIONES!D:E,2,0),VLOOKUP(H35,OPCIONES!$G$2:$H$8,2,0))))</f>
        <v/>
      </c>
      <c r="J35" s="49">
        <f t="shared" si="1"/>
        <v>15000</v>
      </c>
      <c r="K35" s="49" t="s">
        <v>91</v>
      </c>
      <c r="L35" s="49" t="s">
        <v>176</v>
      </c>
      <c r="M35" s="49" t="s">
        <v>254</v>
      </c>
      <c r="N35" s="49" t="str">
        <f>IF(F35="","",VLOOKUP(F35,OPCIONES!A:B,2,0))</f>
        <v/>
      </c>
    </row>
    <row r="36" spans="1:14" ht="27.9" customHeight="1" x14ac:dyDescent="0.3">
      <c r="A36" s="31"/>
      <c r="B36" s="30"/>
      <c r="C36" s="31"/>
      <c r="D36" s="31"/>
      <c r="E36" s="30"/>
      <c r="F36" s="31"/>
      <c r="G36" s="31"/>
      <c r="H36" s="30"/>
      <c r="I36" s="31" t="str">
        <f>IF(F36="","",IF(F36="Tecnicatura en composición coreográfica en ddv fusión","Jime",CONCATENATE(VLOOKUP(G36,OPCIONES!D:E,2,0),VLOOKUP(H36,OPCIONES!$G$2:$H$8,2,0))))</f>
        <v/>
      </c>
      <c r="J36" s="49">
        <f t="shared" si="1"/>
        <v>15000</v>
      </c>
      <c r="K36" s="49" t="s">
        <v>91</v>
      </c>
      <c r="L36" s="49" t="s">
        <v>176</v>
      </c>
      <c r="M36" s="49" t="s">
        <v>254</v>
      </c>
      <c r="N36" s="49" t="str">
        <f>IF(F36="","",VLOOKUP(F36,OPCIONES!A:B,2,0))</f>
        <v/>
      </c>
    </row>
    <row r="37" spans="1:14" ht="27.9" customHeight="1" x14ac:dyDescent="0.3">
      <c r="A37" s="31"/>
      <c r="B37" s="30"/>
      <c r="C37" s="31"/>
      <c r="D37" s="31"/>
      <c r="E37" s="30"/>
      <c r="F37" s="31"/>
      <c r="G37" s="31"/>
      <c r="H37" s="30"/>
      <c r="I37" s="31" t="str">
        <f>IF(F37="","",IF(F37="Tecnicatura en composición coreográfica en ddv fusión","Jime",CONCATENATE(VLOOKUP(G37,OPCIONES!D:E,2,0),VLOOKUP(H37,OPCIONES!$G$2:$H$8,2,0))))</f>
        <v/>
      </c>
      <c r="J37" s="49">
        <f t="shared" si="1"/>
        <v>15000</v>
      </c>
      <c r="K37" s="49" t="s">
        <v>91</v>
      </c>
      <c r="L37" s="49" t="s">
        <v>176</v>
      </c>
      <c r="M37" s="49" t="s">
        <v>254</v>
      </c>
      <c r="N37" s="49" t="str">
        <f>IF(F37="","",VLOOKUP(F37,OPCIONES!A:B,2,0))</f>
        <v/>
      </c>
    </row>
    <row r="38" spans="1:14" ht="27.9" customHeight="1" x14ac:dyDescent="0.3">
      <c r="A38" s="31"/>
      <c r="B38" s="30"/>
      <c r="C38" s="31"/>
      <c r="D38" s="31"/>
      <c r="E38" s="30"/>
      <c r="F38" s="31"/>
      <c r="G38" s="31"/>
      <c r="H38" s="30"/>
      <c r="I38" s="31" t="str">
        <f>IF(F38="","",IF(F38="Tecnicatura en composición coreográfica en ddv fusión","Jime",CONCATENATE(VLOOKUP(G38,OPCIONES!D:E,2,0),VLOOKUP(H38,OPCIONES!$G$2:$H$8,2,0))))</f>
        <v/>
      </c>
      <c r="J38" s="49">
        <f t="shared" si="1"/>
        <v>15000</v>
      </c>
      <c r="K38" s="49" t="s">
        <v>91</v>
      </c>
      <c r="L38" s="49" t="s">
        <v>176</v>
      </c>
      <c r="M38" s="49" t="s">
        <v>254</v>
      </c>
      <c r="N38" s="49" t="str">
        <f>IF(F38="","",VLOOKUP(F38,OPCIONES!A:B,2,0))</f>
        <v/>
      </c>
    </row>
    <row r="39" spans="1:14" ht="27.9" customHeight="1" x14ac:dyDescent="0.3">
      <c r="A39" s="31"/>
      <c r="B39" s="30"/>
      <c r="C39" s="31"/>
      <c r="D39" s="31"/>
      <c r="E39" s="30"/>
      <c r="F39" s="31"/>
      <c r="G39" s="31"/>
      <c r="H39" s="30"/>
      <c r="I39" s="31" t="str">
        <f>IF(F39="","",IF(F39="Tecnicatura en composición coreográfica en ddv fusión","Jime",CONCATENATE(VLOOKUP(G39,OPCIONES!D:E,2,0),VLOOKUP(H39,OPCIONES!$G$2:$H$8,2,0))))</f>
        <v/>
      </c>
      <c r="J39" s="49">
        <f t="shared" si="1"/>
        <v>15000</v>
      </c>
      <c r="K39" s="49" t="s">
        <v>91</v>
      </c>
      <c r="L39" s="49" t="s">
        <v>176</v>
      </c>
      <c r="M39" s="49" t="s">
        <v>254</v>
      </c>
      <c r="N39" s="49" t="str">
        <f>IF(F39="","",VLOOKUP(F39,OPCIONES!A:B,2,0))</f>
        <v/>
      </c>
    </row>
    <row r="40" spans="1:14" ht="27.9" customHeight="1" x14ac:dyDescent="0.3">
      <c r="A40" s="31"/>
      <c r="B40" s="30"/>
      <c r="C40" s="31"/>
      <c r="D40" s="31"/>
      <c r="E40" s="30"/>
      <c r="F40" s="31"/>
      <c r="G40" s="31"/>
      <c r="H40" s="30"/>
      <c r="I40" s="31" t="str">
        <f>IF(F40="","",IF(F40="Tecnicatura en composición coreográfica en ddv fusión","Jime",CONCATENATE(VLOOKUP(G40,OPCIONES!D:E,2,0),VLOOKUP(H40,OPCIONES!$G$2:$H$8,2,0))))</f>
        <v/>
      </c>
      <c r="J40" s="49">
        <f t="shared" si="1"/>
        <v>15000</v>
      </c>
      <c r="K40" s="49" t="s">
        <v>91</v>
      </c>
      <c r="L40" s="49" t="s">
        <v>176</v>
      </c>
      <c r="M40" s="49" t="s">
        <v>254</v>
      </c>
      <c r="N40" s="49" t="str">
        <f>IF(F40="","",VLOOKUP(F40,OPCIONES!A:B,2,0))</f>
        <v/>
      </c>
    </row>
    <row r="41" spans="1:14" ht="27.9" customHeight="1" x14ac:dyDescent="0.3">
      <c r="A41" s="31"/>
      <c r="B41" s="30"/>
      <c r="C41" s="31"/>
      <c r="D41" s="31"/>
      <c r="E41" s="30"/>
      <c r="F41" s="31"/>
      <c r="G41" s="31"/>
      <c r="H41" s="30"/>
      <c r="I41" s="31" t="str">
        <f>IF(F41="","",IF(F41="Tecnicatura en composición coreográfica en ddv fusión","Jime",CONCATENATE(VLOOKUP(G41,OPCIONES!D:E,2,0),VLOOKUP(H41,OPCIONES!$G$2:$H$8,2,0))))</f>
        <v/>
      </c>
      <c r="J41" s="49">
        <f t="shared" si="1"/>
        <v>15000</v>
      </c>
      <c r="K41" s="49" t="s">
        <v>91</v>
      </c>
      <c r="L41" s="49" t="s">
        <v>176</v>
      </c>
      <c r="M41" s="49" t="s">
        <v>254</v>
      </c>
      <c r="N41" s="49" t="str">
        <f>IF(F41="","",VLOOKUP(F41,OPCIONES!A:B,2,0))</f>
        <v/>
      </c>
    </row>
    <row r="42" spans="1:14" ht="27.9" customHeight="1" x14ac:dyDescent="0.3">
      <c r="A42" s="31"/>
      <c r="B42" s="30"/>
      <c r="C42" s="31"/>
      <c r="D42" s="31"/>
      <c r="E42" s="30"/>
      <c r="F42" s="31"/>
      <c r="G42" s="31"/>
      <c r="H42" s="30"/>
      <c r="I42" s="31" t="str">
        <f>IF(F42="","",IF(F42="Tecnicatura en composición coreográfica en ddv fusión","Jime",CONCATENATE(VLOOKUP(G42,OPCIONES!D:E,2,0),VLOOKUP(H42,OPCIONES!$G$2:$H$8,2,0))))</f>
        <v/>
      </c>
      <c r="J42" s="49">
        <f t="shared" si="1"/>
        <v>15000</v>
      </c>
      <c r="K42" s="49" t="s">
        <v>91</v>
      </c>
      <c r="L42" s="49" t="s">
        <v>176</v>
      </c>
      <c r="M42" s="49" t="s">
        <v>254</v>
      </c>
      <c r="N42" s="49" t="str">
        <f>IF(F42="","",VLOOKUP(F42,OPCIONES!A:B,2,0))</f>
        <v/>
      </c>
    </row>
    <row r="43" spans="1:14" ht="27.9" customHeight="1" x14ac:dyDescent="0.3">
      <c r="A43" s="31"/>
      <c r="B43" s="30"/>
      <c r="C43" s="31"/>
      <c r="D43" s="31"/>
      <c r="E43" s="30"/>
      <c r="F43" s="31"/>
      <c r="G43" s="31"/>
      <c r="H43" s="30"/>
      <c r="I43" s="31" t="str">
        <f>IF(F43="","",IF(F43="Tecnicatura en composición coreográfica en ddv fusión","Jime",CONCATENATE(VLOOKUP(G43,OPCIONES!D:E,2,0),VLOOKUP(H43,OPCIONES!$G$2:$H$8,2,0))))</f>
        <v/>
      </c>
      <c r="J43" s="49">
        <f t="shared" si="1"/>
        <v>15000</v>
      </c>
      <c r="K43" s="49" t="s">
        <v>91</v>
      </c>
      <c r="L43" s="49" t="s">
        <v>176</v>
      </c>
      <c r="M43" s="49" t="s">
        <v>254</v>
      </c>
      <c r="N43" s="49" t="str">
        <f>IF(F43="","",VLOOKUP(F43,OPCIONES!A:B,2,0))</f>
        <v/>
      </c>
    </row>
    <row r="44" spans="1:14" ht="27.9" customHeight="1" x14ac:dyDescent="0.3">
      <c r="A44" s="31"/>
      <c r="B44" s="30"/>
      <c r="C44" s="31"/>
      <c r="D44" s="31"/>
      <c r="E44" s="30"/>
      <c r="F44" s="31"/>
      <c r="G44" s="31"/>
      <c r="H44" s="30"/>
      <c r="I44" s="31" t="str">
        <f>IF(F44="","",IF(F44="Tecnicatura en composición coreográfica en ddv fusión","Jime",CONCATENATE(VLOOKUP(G44,OPCIONES!D:E,2,0),VLOOKUP(H44,OPCIONES!$G$2:$H$8,2,0))))</f>
        <v/>
      </c>
      <c r="J44" s="49">
        <f t="shared" si="1"/>
        <v>15000</v>
      </c>
      <c r="K44" s="49" t="s">
        <v>91</v>
      </c>
      <c r="L44" s="49" t="s">
        <v>176</v>
      </c>
      <c r="M44" s="49" t="s">
        <v>254</v>
      </c>
      <c r="N44" s="49" t="str">
        <f>IF(F44="","",VLOOKUP(F44,OPCIONES!A:B,2,0))</f>
        <v/>
      </c>
    </row>
    <row r="45" spans="1:14" ht="27.9" customHeight="1" x14ac:dyDescent="0.3">
      <c r="A45" s="31"/>
      <c r="B45" s="30"/>
      <c r="C45" s="31"/>
      <c r="D45" s="31"/>
      <c r="E45" s="30"/>
      <c r="F45" s="31"/>
      <c r="G45" s="31"/>
      <c r="H45" s="30"/>
      <c r="I45" s="31" t="str">
        <f>IF(F45="","",IF(F45="Tecnicatura en composición coreográfica en ddv fusión","Jime",CONCATENATE(VLOOKUP(G45,OPCIONES!D:E,2,0),VLOOKUP(H45,OPCIONES!$G$2:$H$8,2,0))))</f>
        <v/>
      </c>
      <c r="J45" s="49">
        <f t="shared" si="1"/>
        <v>15000</v>
      </c>
      <c r="K45" s="49" t="s">
        <v>91</v>
      </c>
      <c r="L45" s="49" t="s">
        <v>176</v>
      </c>
      <c r="M45" s="49" t="s">
        <v>254</v>
      </c>
      <c r="N45" s="49" t="str">
        <f>IF(F45="","",VLOOKUP(F45,OPCIONES!A:B,2,0))</f>
        <v/>
      </c>
    </row>
    <row r="46" spans="1:14" ht="27.9" customHeight="1" x14ac:dyDescent="0.3">
      <c r="A46" s="31"/>
      <c r="B46" s="30"/>
      <c r="C46" s="31"/>
      <c r="D46" s="31"/>
      <c r="E46" s="30"/>
      <c r="F46" s="31"/>
      <c r="G46" s="31"/>
      <c r="H46" s="30"/>
      <c r="I46" s="31" t="str">
        <f>IF(F46="","",IF(F46="Tecnicatura en composición coreográfica en ddv fusión","Jime",CONCATENATE(VLOOKUP(G46,OPCIONES!D:E,2,0),VLOOKUP(H46,OPCIONES!$G$2:$H$8,2,0))))</f>
        <v/>
      </c>
      <c r="J46" s="49">
        <f t="shared" si="1"/>
        <v>15000</v>
      </c>
      <c r="K46" s="49" t="s">
        <v>91</v>
      </c>
      <c r="L46" s="49" t="s">
        <v>176</v>
      </c>
      <c r="M46" s="49" t="s">
        <v>254</v>
      </c>
      <c r="N46" s="49" t="str">
        <f>IF(F46="","",VLOOKUP(F46,OPCIONES!A:B,2,0))</f>
        <v/>
      </c>
    </row>
    <row r="47" spans="1:14" ht="27.9" customHeight="1" x14ac:dyDescent="0.3">
      <c r="A47" s="31"/>
      <c r="B47" s="30"/>
      <c r="C47" s="31"/>
      <c r="D47" s="31"/>
      <c r="E47" s="30"/>
      <c r="F47" s="31"/>
      <c r="G47" s="31"/>
      <c r="H47" s="30"/>
      <c r="I47" s="31" t="str">
        <f>IF(F47="","",IF(F47="Tecnicatura en composición coreográfica en ddv fusión","Jime",CONCATENATE(VLOOKUP(G47,OPCIONES!D:E,2,0),VLOOKUP(H47,OPCIONES!$G$2:$H$8,2,0))))</f>
        <v/>
      </c>
      <c r="J47" s="49">
        <f t="shared" si="1"/>
        <v>15000</v>
      </c>
      <c r="K47" s="49" t="s">
        <v>91</v>
      </c>
      <c r="L47" s="49" t="s">
        <v>176</v>
      </c>
      <c r="M47" s="49" t="s">
        <v>254</v>
      </c>
      <c r="N47" s="49" t="str">
        <f>IF(F47="","",VLOOKUP(F47,OPCIONES!A:B,2,0))</f>
        <v/>
      </c>
    </row>
    <row r="48" spans="1:14" ht="27.9" customHeight="1" x14ac:dyDescent="0.3">
      <c r="A48" s="31"/>
      <c r="B48" s="30"/>
      <c r="C48" s="31"/>
      <c r="D48" s="31"/>
      <c r="E48" s="30"/>
      <c r="F48" s="31"/>
      <c r="G48" s="31"/>
      <c r="H48" s="30"/>
      <c r="I48" s="31" t="str">
        <f>IF(F48="","",IF(F48="Tecnicatura en composición coreográfica en ddv fusión","Jime",CONCATENATE(VLOOKUP(G48,OPCIONES!D:E,2,0),VLOOKUP(H48,OPCIONES!$G$2:$H$8,2,0))))</f>
        <v/>
      </c>
      <c r="J48" s="49">
        <f t="shared" si="1"/>
        <v>15000</v>
      </c>
      <c r="K48" s="49" t="s">
        <v>91</v>
      </c>
      <c r="L48" s="49" t="s">
        <v>176</v>
      </c>
      <c r="M48" s="49" t="s">
        <v>254</v>
      </c>
      <c r="N48" s="49" t="str">
        <f>IF(F48="","",VLOOKUP(F48,OPCIONES!A:B,2,0))</f>
        <v/>
      </c>
    </row>
    <row r="49" spans="1:14" ht="27.9" customHeight="1" x14ac:dyDescent="0.3">
      <c r="A49" s="31"/>
      <c r="B49" s="30"/>
      <c r="C49" s="31"/>
      <c r="D49" s="31"/>
      <c r="E49" s="30"/>
      <c r="F49" s="31"/>
      <c r="G49" s="31"/>
      <c r="H49" s="30"/>
      <c r="I49" s="31" t="str">
        <f>IF(F49="","",IF(F49="Tecnicatura en composición coreográfica en ddv fusión","Jime",CONCATENATE(VLOOKUP(G49,OPCIONES!D:E,2,0),VLOOKUP(H49,OPCIONES!$G$2:$H$8,2,0))))</f>
        <v/>
      </c>
      <c r="J49" s="49">
        <f t="shared" si="1"/>
        <v>15000</v>
      </c>
      <c r="K49" s="49" t="s">
        <v>91</v>
      </c>
      <c r="L49" s="49" t="s">
        <v>176</v>
      </c>
      <c r="M49" s="49" t="s">
        <v>254</v>
      </c>
      <c r="N49" s="49" t="str">
        <f>IF(F49="","",VLOOKUP(F49,OPCIONES!A:B,2,0))</f>
        <v/>
      </c>
    </row>
    <row r="50" spans="1:14" ht="27.9" customHeight="1" x14ac:dyDescent="0.3">
      <c r="A50" s="31"/>
      <c r="B50" s="30"/>
      <c r="C50" s="31"/>
      <c r="D50" s="31"/>
      <c r="E50" s="30"/>
      <c r="F50" s="31"/>
      <c r="G50" s="31"/>
      <c r="H50" s="30"/>
      <c r="I50" s="31" t="str">
        <f>IF(F50="","",IF(F50="Tecnicatura en composición coreográfica en ddv fusión","Jime",CONCATENATE(VLOOKUP(G50,OPCIONES!D:E,2,0),VLOOKUP(H50,OPCIONES!$G$2:$H$8,2,0))))</f>
        <v/>
      </c>
      <c r="J50" s="49">
        <f t="shared" si="1"/>
        <v>15000</v>
      </c>
      <c r="K50" s="49" t="s">
        <v>91</v>
      </c>
      <c r="L50" s="49" t="s">
        <v>176</v>
      </c>
      <c r="M50" s="49" t="s">
        <v>254</v>
      </c>
      <c r="N50" s="49" t="str">
        <f>IF(F50="","",VLOOKUP(F50,OPCIONES!A:B,2,0))</f>
        <v/>
      </c>
    </row>
    <row r="51" spans="1:14" ht="27.9" customHeight="1" x14ac:dyDescent="0.3">
      <c r="A51" s="31"/>
      <c r="B51" s="30"/>
      <c r="C51" s="31"/>
      <c r="D51" s="31"/>
      <c r="E51" s="30"/>
      <c r="F51" s="31"/>
      <c r="G51" s="31"/>
      <c r="H51" s="30"/>
      <c r="I51" s="31" t="str">
        <f>IF(F51="","",IF(F51="Tecnicatura en composición coreográfica en ddv fusión","Jime",CONCATENATE(VLOOKUP(G51,OPCIONES!D:E,2,0),VLOOKUP(H51,OPCIONES!$G$2:$H$8,2,0))))</f>
        <v/>
      </c>
      <c r="J51" s="49">
        <f t="shared" si="1"/>
        <v>15000</v>
      </c>
      <c r="K51" s="49" t="s">
        <v>91</v>
      </c>
      <c r="L51" s="49" t="s">
        <v>176</v>
      </c>
      <c r="M51" s="49" t="s">
        <v>254</v>
      </c>
      <c r="N51" s="49" t="str">
        <f>IF(F51="","",VLOOKUP(F51,OPCIONES!A:B,2,0))</f>
        <v/>
      </c>
    </row>
    <row r="52" spans="1:14" ht="27.9" customHeight="1" x14ac:dyDescent="0.3">
      <c r="A52" s="31"/>
      <c r="B52" s="30"/>
      <c r="C52" s="31"/>
      <c r="D52" s="31"/>
      <c r="E52" s="30"/>
      <c r="F52" s="31"/>
      <c r="G52" s="31"/>
      <c r="H52" s="30"/>
      <c r="I52" s="31" t="str">
        <f>IF(F52="","",IF(F52="Tecnicatura en composición coreográfica en ddv fusión","Jime",CONCATENATE(VLOOKUP(G52,OPCIONES!D:E,2,0),VLOOKUP(H52,OPCIONES!$G$2:$H$8,2,0))))</f>
        <v/>
      </c>
      <c r="J52" s="49">
        <f t="shared" si="1"/>
        <v>15000</v>
      </c>
      <c r="K52" s="49" t="s">
        <v>91</v>
      </c>
      <c r="L52" s="49" t="s">
        <v>176</v>
      </c>
      <c r="M52" s="49" t="s">
        <v>254</v>
      </c>
      <c r="N52" s="49" t="str">
        <f>IF(F52="","",VLOOKUP(F52,OPCIONES!A:B,2,0))</f>
        <v/>
      </c>
    </row>
    <row r="53" spans="1:14" ht="27.9" customHeight="1" x14ac:dyDescent="0.3">
      <c r="A53" s="31"/>
      <c r="B53" s="30"/>
      <c r="C53" s="31"/>
      <c r="D53" s="31"/>
      <c r="E53" s="30"/>
      <c r="F53" s="31"/>
      <c r="G53" s="31"/>
      <c r="H53" s="30"/>
      <c r="I53" s="31" t="str">
        <f>IF(F53="","",IF(F53="Tecnicatura en composición coreográfica en ddv fusión","Jime",CONCATENATE(VLOOKUP(G53,OPCIONES!D:E,2,0),VLOOKUP(H53,OPCIONES!$G$2:$H$8,2,0))))</f>
        <v/>
      </c>
      <c r="J53" s="49">
        <f t="shared" si="1"/>
        <v>15000</v>
      </c>
      <c r="K53" s="49" t="s">
        <v>91</v>
      </c>
      <c r="L53" s="49" t="s">
        <v>176</v>
      </c>
      <c r="M53" s="49" t="s">
        <v>254</v>
      </c>
      <c r="N53" s="49" t="str">
        <f>IF(F53="","",VLOOKUP(F53,OPCIONES!A:B,2,0))</f>
        <v/>
      </c>
    </row>
    <row r="54" spans="1:14" ht="27.9" customHeight="1" x14ac:dyDescent="0.3">
      <c r="A54" s="31"/>
      <c r="B54" s="30"/>
      <c r="C54" s="31"/>
      <c r="D54" s="31"/>
      <c r="E54" s="30"/>
      <c r="F54" s="31"/>
      <c r="G54" s="31"/>
      <c r="H54" s="30"/>
      <c r="I54" s="31" t="str">
        <f>IF(F54="","",IF(F54="Tecnicatura en composición coreográfica en ddv fusión","Jime",CONCATENATE(VLOOKUP(G54,OPCIONES!D:E,2,0),VLOOKUP(H54,OPCIONES!$G$2:$H$8,2,0))))</f>
        <v/>
      </c>
      <c r="J54" s="49">
        <f t="shared" si="1"/>
        <v>15000</v>
      </c>
      <c r="K54" s="49" t="s">
        <v>91</v>
      </c>
      <c r="L54" s="49" t="s">
        <v>176</v>
      </c>
      <c r="M54" s="49" t="s">
        <v>254</v>
      </c>
      <c r="N54" s="49" t="str">
        <f>IF(F54="","",VLOOKUP(F54,OPCIONES!A:B,2,0))</f>
        <v/>
      </c>
    </row>
    <row r="55" spans="1:14" ht="27.9" customHeight="1" x14ac:dyDescent="0.3">
      <c r="A55" s="31"/>
      <c r="B55" s="30"/>
      <c r="C55" s="31"/>
      <c r="D55" s="31"/>
      <c r="E55" s="30"/>
      <c r="F55" s="31"/>
      <c r="G55" s="31"/>
      <c r="H55" s="30"/>
      <c r="I55" s="31" t="str">
        <f>IF(F55="","",IF(F55="Tecnicatura en composición coreográfica en ddv fusión","Jime",CONCATENATE(VLOOKUP(G55,OPCIONES!D:E,2,0),VLOOKUP(H55,OPCIONES!$G$2:$H$8,2,0))))</f>
        <v/>
      </c>
      <c r="J55" s="49">
        <f t="shared" si="1"/>
        <v>15000</v>
      </c>
      <c r="K55" s="49" t="s">
        <v>91</v>
      </c>
      <c r="L55" s="49" t="s">
        <v>176</v>
      </c>
      <c r="M55" s="49" t="s">
        <v>254</v>
      </c>
      <c r="N55" s="49" t="str">
        <f>IF(F55="","",VLOOKUP(F55,OPCIONES!A:B,2,0))</f>
        <v/>
      </c>
    </row>
    <row r="56" spans="1:14" ht="27.9" customHeight="1" x14ac:dyDescent="0.3">
      <c r="A56" s="31"/>
      <c r="B56" s="30"/>
      <c r="C56" s="31"/>
      <c r="D56" s="31"/>
      <c r="E56" s="30"/>
      <c r="F56" s="31"/>
      <c r="G56" s="31"/>
      <c r="H56" s="30"/>
      <c r="I56" s="31" t="str">
        <f>IF(F56="","",IF(F56="Tecnicatura en composición coreográfica en ddv fusión","Jime",CONCATENATE(VLOOKUP(G56,OPCIONES!D:E,2,0),VLOOKUP(H56,OPCIONES!$G$2:$H$8,2,0))))</f>
        <v/>
      </c>
      <c r="J56" s="49">
        <f t="shared" si="1"/>
        <v>15000</v>
      </c>
      <c r="K56" s="49" t="s">
        <v>91</v>
      </c>
      <c r="L56" s="49" t="s">
        <v>176</v>
      </c>
      <c r="M56" s="49" t="s">
        <v>254</v>
      </c>
      <c r="N56" s="49" t="str">
        <f>IF(F56="","",VLOOKUP(F56,OPCIONES!A:B,2,0))</f>
        <v/>
      </c>
    </row>
    <row r="57" spans="1:14" ht="27.9" customHeight="1" x14ac:dyDescent="0.3">
      <c r="A57" s="31"/>
      <c r="B57" s="30"/>
      <c r="C57" s="31"/>
      <c r="D57" s="31"/>
      <c r="E57" s="30"/>
      <c r="F57" s="31"/>
      <c r="G57" s="31"/>
      <c r="H57" s="30"/>
      <c r="I57" s="31" t="str">
        <f>IF(F57="","",IF(F57="Tecnicatura en composición coreográfica en ddv fusión","Jime",CONCATENATE(VLOOKUP(G57,OPCIONES!D:E,2,0),VLOOKUP(H57,OPCIONES!$G$2:$H$8,2,0))))</f>
        <v/>
      </c>
      <c r="J57" s="49">
        <f t="shared" si="1"/>
        <v>15000</v>
      </c>
      <c r="K57" s="49" t="s">
        <v>91</v>
      </c>
      <c r="L57" s="49" t="s">
        <v>176</v>
      </c>
      <c r="M57" s="49" t="s">
        <v>254</v>
      </c>
      <c r="N57" s="49" t="str">
        <f>IF(F57="","",VLOOKUP(F57,OPCIONES!A:B,2,0))</f>
        <v/>
      </c>
    </row>
    <row r="58" spans="1:14" ht="27.9" customHeight="1" x14ac:dyDescent="0.3">
      <c r="A58" s="31"/>
      <c r="B58" s="30"/>
      <c r="C58" s="31"/>
      <c r="D58" s="31"/>
      <c r="E58" s="30"/>
      <c r="F58" s="31"/>
      <c r="G58" s="31"/>
      <c r="H58" s="30"/>
      <c r="I58" s="31" t="str">
        <f>IF(F58="","",IF(F58="Tecnicatura en composición coreográfica en ddv fusión","Jime",CONCATENATE(VLOOKUP(G58,OPCIONES!D:E,2,0),VLOOKUP(H58,OPCIONES!$G$2:$H$8,2,0))))</f>
        <v/>
      </c>
      <c r="J58" s="49">
        <f t="shared" si="1"/>
        <v>15000</v>
      </c>
      <c r="K58" s="49" t="s">
        <v>91</v>
      </c>
      <c r="L58" s="49" t="s">
        <v>176</v>
      </c>
      <c r="M58" s="49" t="s">
        <v>254</v>
      </c>
      <c r="N58" s="49" t="str">
        <f>IF(F58="","",VLOOKUP(F58,OPCIONES!A:B,2,0))</f>
        <v/>
      </c>
    </row>
    <row r="59" spans="1:14" ht="27.9" customHeight="1" x14ac:dyDescent="0.3">
      <c r="A59" s="31"/>
      <c r="B59" s="30"/>
      <c r="C59" s="31"/>
      <c r="D59" s="31"/>
      <c r="E59" s="30"/>
      <c r="F59" s="31"/>
      <c r="G59" s="31"/>
      <c r="H59" s="30"/>
      <c r="I59" s="31" t="str">
        <f>IF(F59="","",IF(F59="Tecnicatura en composición coreográfica en ddv fusión","Jime",CONCATENATE(VLOOKUP(G59,OPCIONES!D:E,2,0),VLOOKUP(H59,OPCIONES!$G$2:$H$8,2,0))))</f>
        <v/>
      </c>
      <c r="J59" s="49">
        <f t="shared" si="1"/>
        <v>15000</v>
      </c>
      <c r="K59" s="49" t="s">
        <v>91</v>
      </c>
      <c r="L59" s="49" t="s">
        <v>176</v>
      </c>
      <c r="M59" s="49" t="s">
        <v>254</v>
      </c>
      <c r="N59" s="49" t="str">
        <f>IF(F59="","",VLOOKUP(F59,OPCIONES!A:B,2,0))</f>
        <v/>
      </c>
    </row>
    <row r="60" spans="1:14" ht="27.9" customHeight="1" x14ac:dyDescent="0.3">
      <c r="A60" s="31"/>
      <c r="B60" s="30"/>
      <c r="C60" s="31"/>
      <c r="D60" s="31"/>
      <c r="E60" s="30"/>
      <c r="F60" s="31"/>
      <c r="G60" s="31"/>
      <c r="H60" s="30"/>
      <c r="I60" s="31" t="str">
        <f>IF(F60="","",IF(F60="Tecnicatura en composición coreográfica en ddv fusión","Jime",CONCATENATE(VLOOKUP(G60,OPCIONES!D:E,2,0),VLOOKUP(H60,OPCIONES!$G$2:$H$8,2,0))))</f>
        <v/>
      </c>
      <c r="J60" s="49">
        <f t="shared" si="1"/>
        <v>15000</v>
      </c>
      <c r="K60" s="49" t="s">
        <v>91</v>
      </c>
      <c r="L60" s="49" t="s">
        <v>176</v>
      </c>
      <c r="M60" s="49" t="s">
        <v>254</v>
      </c>
      <c r="N60" s="49" t="str">
        <f>IF(F60="","",VLOOKUP(F60,OPCIONES!A:B,2,0))</f>
        <v/>
      </c>
    </row>
    <row r="61" spans="1:14" ht="27.9" customHeight="1" x14ac:dyDescent="0.3">
      <c r="A61" s="31"/>
      <c r="B61" s="30"/>
      <c r="C61" s="31"/>
      <c r="D61" s="31"/>
      <c r="E61" s="30"/>
      <c r="F61" s="31"/>
      <c r="G61" s="31"/>
      <c r="H61" s="30"/>
      <c r="I61" s="31" t="str">
        <f>IF(F61="","",IF(F61="Tecnicatura en composición coreográfica en ddv fusión","Jime",CONCATENATE(VLOOKUP(G61,OPCIONES!D:E,2,0),VLOOKUP(H61,OPCIONES!$G$2:$H$8,2,0))))</f>
        <v/>
      </c>
      <c r="J61" s="49">
        <f t="shared" si="1"/>
        <v>15000</v>
      </c>
      <c r="K61" s="49" t="s">
        <v>91</v>
      </c>
      <c r="L61" s="49" t="s">
        <v>176</v>
      </c>
      <c r="M61" s="49" t="s">
        <v>254</v>
      </c>
      <c r="N61" s="49" t="str">
        <f>IF(F61="","",VLOOKUP(F61,OPCIONES!A:B,2,0))</f>
        <v/>
      </c>
    </row>
    <row r="62" spans="1:14" ht="27.9" customHeight="1" x14ac:dyDescent="0.3">
      <c r="A62" s="31"/>
      <c r="B62" s="30"/>
      <c r="C62" s="31"/>
      <c r="D62" s="31"/>
      <c r="E62" s="30"/>
      <c r="F62" s="31"/>
      <c r="G62" s="31"/>
      <c r="H62" s="30"/>
      <c r="I62" s="31" t="str">
        <f>IF(F62="","",IF(F62="Tecnicatura en composición coreográfica en ddv fusión","Jime",CONCATENATE(VLOOKUP(G62,OPCIONES!D:E,2,0),VLOOKUP(H62,OPCIONES!$G$2:$H$8,2,0))))</f>
        <v/>
      </c>
      <c r="J62" s="49">
        <f t="shared" si="1"/>
        <v>15000</v>
      </c>
      <c r="K62" s="49" t="s">
        <v>91</v>
      </c>
      <c r="L62" s="49" t="s">
        <v>176</v>
      </c>
      <c r="M62" s="49" t="s">
        <v>254</v>
      </c>
      <c r="N62" s="49" t="str">
        <f>IF(F62="","",VLOOKUP(F62,OPCIONES!A:B,2,0))</f>
        <v/>
      </c>
    </row>
    <row r="63" spans="1:14" ht="27.9" customHeight="1" x14ac:dyDescent="0.3">
      <c r="A63" s="31"/>
      <c r="B63" s="30"/>
      <c r="C63" s="31"/>
      <c r="D63" s="31"/>
      <c r="E63" s="30"/>
      <c r="F63" s="31"/>
      <c r="G63" s="31"/>
      <c r="H63" s="30"/>
      <c r="I63" s="31" t="str">
        <f>IF(F63="","",IF(F63="Tecnicatura en composición coreográfica en ddv fusión","Jime",CONCATENATE(VLOOKUP(G63,OPCIONES!D:E,2,0),VLOOKUP(H63,OPCIONES!$G$2:$H$8,2,0))))</f>
        <v/>
      </c>
      <c r="J63" s="49">
        <f t="shared" si="1"/>
        <v>15000</v>
      </c>
      <c r="K63" s="49" t="s">
        <v>91</v>
      </c>
      <c r="L63" s="49" t="s">
        <v>176</v>
      </c>
      <c r="M63" s="49" t="s">
        <v>254</v>
      </c>
      <c r="N63" s="49" t="str">
        <f>IF(F63="","",VLOOKUP(F63,OPCIONES!A:B,2,0))</f>
        <v/>
      </c>
    </row>
    <row r="64" spans="1:14" ht="27.9" customHeight="1" x14ac:dyDescent="0.3">
      <c r="A64" s="31"/>
      <c r="B64" s="30"/>
      <c r="C64" s="31"/>
      <c r="D64" s="31"/>
      <c r="E64" s="30"/>
      <c r="F64" s="31"/>
      <c r="G64" s="31"/>
      <c r="H64" s="30"/>
      <c r="I64" s="31" t="str">
        <f>IF(F64="","",IF(F64="Tecnicatura en composición coreográfica en ddv fusión","Jime",CONCATENATE(VLOOKUP(G64,OPCIONES!D:E,2,0),VLOOKUP(H64,OPCIONES!$G$2:$H$8,2,0))))</f>
        <v/>
      </c>
      <c r="J64" s="49">
        <f t="shared" si="1"/>
        <v>15000</v>
      </c>
      <c r="K64" s="49" t="s">
        <v>91</v>
      </c>
      <c r="L64" s="49" t="s">
        <v>176</v>
      </c>
      <c r="M64" s="49" t="s">
        <v>254</v>
      </c>
      <c r="N64" s="49" t="str">
        <f>IF(F64="","",VLOOKUP(F64,OPCIONES!A:B,2,0))</f>
        <v/>
      </c>
    </row>
    <row r="65" spans="1:14" ht="27.9" customHeight="1" x14ac:dyDescent="0.3">
      <c r="A65" s="31"/>
      <c r="B65" s="30"/>
      <c r="C65" s="31"/>
      <c r="D65" s="31"/>
      <c r="E65" s="30"/>
      <c r="F65" s="31"/>
      <c r="G65" s="31"/>
      <c r="H65" s="30"/>
      <c r="I65" s="31" t="str">
        <f>IF(F65="","",IF(F65="Tecnicatura en composición coreográfica en ddv fusión","Jime",CONCATENATE(VLOOKUP(G65,OPCIONES!D:E,2,0),VLOOKUP(H65,OPCIONES!$G$2:$H$8,2,0))))</f>
        <v/>
      </c>
      <c r="J65" s="49">
        <f t="shared" si="1"/>
        <v>15000</v>
      </c>
      <c r="K65" s="49" t="s">
        <v>91</v>
      </c>
      <c r="L65" s="49" t="s">
        <v>176</v>
      </c>
      <c r="M65" s="49" t="s">
        <v>254</v>
      </c>
      <c r="N65" s="49" t="str">
        <f>IF(F65="","",VLOOKUP(F65,OPCIONES!A:B,2,0))</f>
        <v/>
      </c>
    </row>
    <row r="66" spans="1:14" ht="27.9" customHeight="1" x14ac:dyDescent="0.3">
      <c r="A66" s="31"/>
      <c r="B66" s="30"/>
      <c r="C66" s="31"/>
      <c r="D66" s="31"/>
      <c r="E66" s="30"/>
      <c r="F66" s="31"/>
      <c r="G66" s="31"/>
      <c r="H66" s="30"/>
      <c r="I66" s="31" t="str">
        <f>IF(F66="","",IF(F66="Tecnicatura en composición coreográfica en ddv fusión","Jime",CONCATENATE(VLOOKUP(G66,OPCIONES!D:E,2,0),VLOOKUP(H66,OPCIONES!$G$2:$H$8,2,0))))</f>
        <v/>
      </c>
      <c r="J66" s="49">
        <f t="shared" si="1"/>
        <v>15000</v>
      </c>
      <c r="K66" s="49" t="s">
        <v>91</v>
      </c>
      <c r="L66" s="49" t="s">
        <v>176</v>
      </c>
      <c r="M66" s="49" t="s">
        <v>254</v>
      </c>
      <c r="N66" s="49" t="str">
        <f>IF(F66="","",VLOOKUP(F66,OPCIONES!A:B,2,0))</f>
        <v/>
      </c>
    </row>
    <row r="67" spans="1:14" ht="27.9" customHeight="1" x14ac:dyDescent="0.3">
      <c r="A67" s="31"/>
      <c r="B67" s="30"/>
      <c r="C67" s="31"/>
      <c r="D67" s="31"/>
      <c r="E67" s="30"/>
      <c r="F67" s="31"/>
      <c r="G67" s="31"/>
      <c r="H67" s="30"/>
      <c r="I67" s="31" t="str">
        <f>IF(F67="","",IF(F67="Tecnicatura en composición coreográfica en ddv fusión","Jime",CONCATENATE(VLOOKUP(G67,OPCIONES!D:E,2,0),VLOOKUP(H67,OPCIONES!$G$2:$H$8,2,0))))</f>
        <v/>
      </c>
      <c r="J67" s="49">
        <f t="shared" si="1"/>
        <v>15000</v>
      </c>
      <c r="K67" s="49" t="s">
        <v>91</v>
      </c>
      <c r="L67" s="49" t="s">
        <v>176</v>
      </c>
      <c r="M67" s="49" t="s">
        <v>254</v>
      </c>
      <c r="N67" s="49" t="str">
        <f>IF(F67="","",VLOOKUP(F67,OPCIONES!A:B,2,0))</f>
        <v/>
      </c>
    </row>
    <row r="68" spans="1:14" ht="27.9" customHeight="1" x14ac:dyDescent="0.3">
      <c r="A68" s="31"/>
      <c r="B68" s="30"/>
      <c r="C68" s="31"/>
      <c r="D68" s="31"/>
      <c r="E68" s="30"/>
      <c r="F68" s="31"/>
      <c r="G68" s="31"/>
      <c r="H68" s="30"/>
      <c r="I68" s="31" t="str">
        <f>IF(F68="","",IF(F68="Tecnicatura en composición coreográfica en ddv fusión","Jime",CONCATENATE(VLOOKUP(G68,OPCIONES!D:E,2,0),VLOOKUP(H68,OPCIONES!$G$2:$H$8,2,0))))</f>
        <v/>
      </c>
      <c r="J68" s="49">
        <f t="shared" si="1"/>
        <v>15000</v>
      </c>
      <c r="K68" s="49" t="s">
        <v>91</v>
      </c>
      <c r="L68" s="49" t="s">
        <v>176</v>
      </c>
      <c r="M68" s="49" t="s">
        <v>254</v>
      </c>
      <c r="N68" s="49" t="str">
        <f>IF(F68="","",VLOOKUP(F68,OPCIONES!A:B,2,0))</f>
        <v/>
      </c>
    </row>
    <row r="69" spans="1:14" ht="27.9" customHeight="1" x14ac:dyDescent="0.3">
      <c r="A69" s="31"/>
      <c r="B69" s="30"/>
      <c r="C69" s="31"/>
      <c r="D69" s="31"/>
      <c r="E69" s="30"/>
      <c r="F69" s="31"/>
      <c r="G69" s="31"/>
      <c r="H69" s="30"/>
      <c r="I69" s="31" t="str">
        <f>IF(F69="","",IF(F69="Tecnicatura en composición coreográfica en ddv fusión","Jime",CONCATENATE(VLOOKUP(G69,OPCIONES!D:E,2,0),VLOOKUP(H69,OPCIONES!$G$2:$H$8,2,0))))</f>
        <v/>
      </c>
      <c r="J69" s="49">
        <f t="shared" si="1"/>
        <v>15000</v>
      </c>
      <c r="K69" s="49" t="s">
        <v>91</v>
      </c>
      <c r="L69" s="49" t="s">
        <v>176</v>
      </c>
      <c r="M69" s="49" t="s">
        <v>254</v>
      </c>
      <c r="N69" s="49" t="str">
        <f>IF(F69="","",VLOOKUP(F69,OPCIONES!A:B,2,0))</f>
        <v/>
      </c>
    </row>
    <row r="70" spans="1:14" ht="27.9" customHeight="1" x14ac:dyDescent="0.3">
      <c r="A70" s="31"/>
      <c r="B70" s="30"/>
      <c r="C70" s="31"/>
      <c r="D70" s="31"/>
      <c r="E70" s="30"/>
      <c r="F70" s="31"/>
      <c r="G70" s="31"/>
      <c r="H70" s="30"/>
      <c r="I70" s="31" t="str">
        <f>IF(F70="","",IF(F70="Tecnicatura en composición coreográfica en ddv fusión","Jime",CONCATENATE(VLOOKUP(G70,OPCIONES!D:E,2,0),VLOOKUP(H70,OPCIONES!$G$2:$H$8,2,0))))</f>
        <v/>
      </c>
      <c r="J70" s="49">
        <f t="shared" ref="J70:J133" si="2">$I$1</f>
        <v>15000</v>
      </c>
      <c r="K70" s="49" t="s">
        <v>91</v>
      </c>
      <c r="L70" s="49" t="s">
        <v>176</v>
      </c>
      <c r="M70" s="49" t="s">
        <v>254</v>
      </c>
      <c r="N70" s="49" t="str">
        <f>IF(F70="","",VLOOKUP(F70,OPCIONES!A:B,2,0))</f>
        <v/>
      </c>
    </row>
    <row r="71" spans="1:14" ht="27.9" customHeight="1" x14ac:dyDescent="0.3">
      <c r="A71" s="31"/>
      <c r="B71" s="30"/>
      <c r="C71" s="31"/>
      <c r="D71" s="31"/>
      <c r="E71" s="30"/>
      <c r="F71" s="31"/>
      <c r="G71" s="31"/>
      <c r="H71" s="30"/>
      <c r="I71" s="31" t="str">
        <f>IF(F71="","",IF(F71="Tecnicatura en composición coreográfica en ddv fusión","Jime",CONCATENATE(VLOOKUP(G71,OPCIONES!D:E,2,0),VLOOKUP(H71,OPCIONES!$G$2:$H$8,2,0))))</f>
        <v/>
      </c>
      <c r="J71" s="49">
        <f t="shared" si="2"/>
        <v>15000</v>
      </c>
      <c r="K71" s="49" t="s">
        <v>91</v>
      </c>
      <c r="L71" s="49" t="s">
        <v>176</v>
      </c>
      <c r="M71" s="49" t="s">
        <v>254</v>
      </c>
      <c r="N71" s="49" t="str">
        <f>IF(F71="","",VLOOKUP(F71,OPCIONES!A:B,2,0))</f>
        <v/>
      </c>
    </row>
    <row r="72" spans="1:14" ht="27.9" customHeight="1" x14ac:dyDescent="0.3">
      <c r="A72" s="31"/>
      <c r="B72" s="30"/>
      <c r="C72" s="31"/>
      <c r="D72" s="31"/>
      <c r="E72" s="30"/>
      <c r="F72" s="31"/>
      <c r="G72" s="31"/>
      <c r="H72" s="30"/>
      <c r="I72" s="31" t="str">
        <f>IF(F72="","",IF(F72="Tecnicatura en composición coreográfica en ddv fusión","Jime",CONCATENATE(VLOOKUP(G72,OPCIONES!D:E,2,0),VLOOKUP(H72,OPCIONES!$G$2:$H$8,2,0))))</f>
        <v/>
      </c>
      <c r="J72" s="49">
        <f t="shared" si="2"/>
        <v>15000</v>
      </c>
      <c r="K72" s="49" t="s">
        <v>91</v>
      </c>
      <c r="L72" s="49" t="s">
        <v>176</v>
      </c>
      <c r="M72" s="49" t="s">
        <v>254</v>
      </c>
      <c r="N72" s="49" t="str">
        <f>IF(F72="","",VLOOKUP(F72,OPCIONES!A:B,2,0))</f>
        <v/>
      </c>
    </row>
    <row r="73" spans="1:14" ht="27.9" customHeight="1" x14ac:dyDescent="0.3">
      <c r="A73" s="31"/>
      <c r="B73" s="30"/>
      <c r="C73" s="31"/>
      <c r="D73" s="31"/>
      <c r="E73" s="30"/>
      <c r="F73" s="31"/>
      <c r="G73" s="31"/>
      <c r="H73" s="30"/>
      <c r="I73" s="31" t="str">
        <f>IF(F73="","",IF(F73="Tecnicatura en composición coreográfica en ddv fusión","Jime",CONCATENATE(VLOOKUP(G73,OPCIONES!D:E,2,0),VLOOKUP(H73,OPCIONES!$G$2:$H$8,2,0))))</f>
        <v/>
      </c>
      <c r="J73" s="49">
        <f t="shared" si="2"/>
        <v>15000</v>
      </c>
      <c r="K73" s="49" t="s">
        <v>91</v>
      </c>
      <c r="L73" s="49" t="s">
        <v>176</v>
      </c>
      <c r="M73" s="49" t="s">
        <v>254</v>
      </c>
      <c r="N73" s="49" t="str">
        <f>IF(F73="","",VLOOKUP(F73,OPCIONES!A:B,2,0))</f>
        <v/>
      </c>
    </row>
    <row r="74" spans="1:14" ht="27.9" customHeight="1" x14ac:dyDescent="0.3">
      <c r="A74" s="31"/>
      <c r="B74" s="30"/>
      <c r="C74" s="31"/>
      <c r="D74" s="31"/>
      <c r="E74" s="30"/>
      <c r="F74" s="31"/>
      <c r="G74" s="31"/>
      <c r="H74" s="30"/>
      <c r="I74" s="31" t="str">
        <f>IF(F74="","",IF(F74="Tecnicatura en composición coreográfica en ddv fusión","Jime",CONCATENATE(VLOOKUP(G74,OPCIONES!D:E,2,0),VLOOKUP(H74,OPCIONES!$G$2:$H$8,2,0))))</f>
        <v/>
      </c>
      <c r="J74" s="49">
        <f t="shared" si="2"/>
        <v>15000</v>
      </c>
      <c r="K74" s="49" t="s">
        <v>91</v>
      </c>
      <c r="L74" s="49" t="s">
        <v>176</v>
      </c>
      <c r="M74" s="49" t="s">
        <v>254</v>
      </c>
      <c r="N74" s="49" t="str">
        <f>IF(F74="","",VLOOKUP(F74,OPCIONES!A:B,2,0))</f>
        <v/>
      </c>
    </row>
    <row r="75" spans="1:14" ht="27.9" customHeight="1" x14ac:dyDescent="0.3">
      <c r="A75" s="31"/>
      <c r="B75" s="30"/>
      <c r="C75" s="31"/>
      <c r="D75" s="31"/>
      <c r="E75" s="30"/>
      <c r="F75" s="31"/>
      <c r="G75" s="31"/>
      <c r="H75" s="30"/>
      <c r="I75" s="31" t="str">
        <f>IF(F75="","",IF(F75="Tecnicatura en composición coreográfica en ddv fusión","Jime",CONCATENATE(VLOOKUP(G75,OPCIONES!D:E,2,0),VLOOKUP(H75,OPCIONES!$G$2:$H$8,2,0))))</f>
        <v/>
      </c>
      <c r="J75" s="49">
        <f t="shared" si="2"/>
        <v>15000</v>
      </c>
      <c r="K75" s="49" t="s">
        <v>91</v>
      </c>
      <c r="L75" s="49" t="s">
        <v>176</v>
      </c>
      <c r="M75" s="49" t="s">
        <v>254</v>
      </c>
      <c r="N75" s="49" t="str">
        <f>IF(F75="","",VLOOKUP(F75,OPCIONES!A:B,2,0))</f>
        <v/>
      </c>
    </row>
    <row r="76" spans="1:14" ht="27.9" customHeight="1" x14ac:dyDescent="0.3">
      <c r="A76" s="31"/>
      <c r="B76" s="30"/>
      <c r="C76" s="31"/>
      <c r="D76" s="31"/>
      <c r="E76" s="30"/>
      <c r="F76" s="31"/>
      <c r="G76" s="31"/>
      <c r="H76" s="30"/>
      <c r="I76" s="31" t="str">
        <f>IF(F76="","",IF(F76="Tecnicatura en composición coreográfica en ddv fusión","Jime",CONCATENATE(VLOOKUP(G76,OPCIONES!D:E,2,0),VLOOKUP(H76,OPCIONES!$G$2:$H$8,2,0))))</f>
        <v/>
      </c>
      <c r="J76" s="49">
        <f t="shared" si="2"/>
        <v>15000</v>
      </c>
      <c r="K76" s="49" t="s">
        <v>91</v>
      </c>
      <c r="L76" s="49" t="s">
        <v>176</v>
      </c>
      <c r="M76" s="49" t="s">
        <v>254</v>
      </c>
      <c r="N76" s="49" t="str">
        <f>IF(F76="","",VLOOKUP(F76,OPCIONES!A:B,2,0))</f>
        <v/>
      </c>
    </row>
    <row r="77" spans="1:14" ht="27.9" customHeight="1" x14ac:dyDescent="0.3">
      <c r="A77" s="31"/>
      <c r="B77" s="30"/>
      <c r="C77" s="31"/>
      <c r="D77" s="31"/>
      <c r="E77" s="30"/>
      <c r="F77" s="31"/>
      <c r="G77" s="31"/>
      <c r="H77" s="30"/>
      <c r="I77" s="31" t="str">
        <f>IF(F77="","",IF(F77="Tecnicatura en composición coreográfica en ddv fusión","Jime",CONCATENATE(VLOOKUP(G77,OPCIONES!D:E,2,0),VLOOKUP(H77,OPCIONES!$G$2:$H$8,2,0))))</f>
        <v/>
      </c>
      <c r="J77" s="49">
        <f t="shared" si="2"/>
        <v>15000</v>
      </c>
      <c r="K77" s="49" t="s">
        <v>91</v>
      </c>
      <c r="L77" s="49" t="s">
        <v>176</v>
      </c>
      <c r="M77" s="49" t="s">
        <v>254</v>
      </c>
      <c r="N77" s="49" t="str">
        <f>IF(F77="","",VLOOKUP(F77,OPCIONES!A:B,2,0))</f>
        <v/>
      </c>
    </row>
    <row r="78" spans="1:14" ht="27.9" customHeight="1" x14ac:dyDescent="0.3">
      <c r="A78" s="31"/>
      <c r="B78" s="30"/>
      <c r="C78" s="31"/>
      <c r="D78" s="31"/>
      <c r="E78" s="30"/>
      <c r="F78" s="31"/>
      <c r="G78" s="31"/>
      <c r="H78" s="30"/>
      <c r="I78" s="31" t="str">
        <f>IF(F78="","",IF(F78="Tecnicatura en composición coreográfica en ddv fusión","Jime",CONCATENATE(VLOOKUP(G78,OPCIONES!D:E,2,0),VLOOKUP(H78,OPCIONES!$G$2:$H$8,2,0))))</f>
        <v/>
      </c>
      <c r="J78" s="49">
        <f t="shared" si="2"/>
        <v>15000</v>
      </c>
      <c r="K78" s="49" t="s">
        <v>91</v>
      </c>
      <c r="L78" s="49" t="s">
        <v>176</v>
      </c>
      <c r="M78" s="49" t="s">
        <v>254</v>
      </c>
      <c r="N78" s="49" t="str">
        <f>IF(F78="","",VLOOKUP(F78,OPCIONES!A:B,2,0))</f>
        <v/>
      </c>
    </row>
    <row r="79" spans="1:14" ht="27.9" customHeight="1" x14ac:dyDescent="0.3">
      <c r="A79" s="31"/>
      <c r="B79" s="30"/>
      <c r="C79" s="31"/>
      <c r="D79" s="31"/>
      <c r="E79" s="30"/>
      <c r="F79" s="31"/>
      <c r="G79" s="31"/>
      <c r="H79" s="30"/>
      <c r="I79" s="31" t="str">
        <f>IF(F79="","",IF(F79="Tecnicatura en composición coreográfica en ddv fusión","Jime",CONCATENATE(VLOOKUP(G79,OPCIONES!D:E,2,0),VLOOKUP(H79,OPCIONES!$G$2:$H$8,2,0))))</f>
        <v/>
      </c>
      <c r="J79" s="49">
        <f t="shared" si="2"/>
        <v>15000</v>
      </c>
      <c r="K79" s="49" t="s">
        <v>91</v>
      </c>
      <c r="L79" s="49" t="s">
        <v>176</v>
      </c>
      <c r="M79" s="49" t="s">
        <v>254</v>
      </c>
      <c r="N79" s="49" t="str">
        <f>IF(F79="","",VLOOKUP(F79,OPCIONES!A:B,2,0))</f>
        <v/>
      </c>
    </row>
    <row r="80" spans="1:14" ht="27.9" customHeight="1" x14ac:dyDescent="0.3">
      <c r="A80" s="31"/>
      <c r="B80" s="30"/>
      <c r="C80" s="31"/>
      <c r="D80" s="31"/>
      <c r="E80" s="30"/>
      <c r="F80" s="31"/>
      <c r="G80" s="31"/>
      <c r="H80" s="30"/>
      <c r="I80" s="31" t="str">
        <f>IF(F80="","",IF(F80="Tecnicatura en composición coreográfica en ddv fusión","Jime",CONCATENATE(VLOOKUP(G80,OPCIONES!D:E,2,0),VLOOKUP(H80,OPCIONES!$G$2:$H$8,2,0))))</f>
        <v/>
      </c>
      <c r="J80" s="49">
        <f t="shared" si="2"/>
        <v>15000</v>
      </c>
      <c r="K80" s="49" t="s">
        <v>91</v>
      </c>
      <c r="L80" s="49" t="s">
        <v>176</v>
      </c>
      <c r="M80" s="49" t="s">
        <v>254</v>
      </c>
      <c r="N80" s="49" t="str">
        <f>IF(F80="","",VLOOKUP(F80,OPCIONES!A:B,2,0))</f>
        <v/>
      </c>
    </row>
    <row r="81" spans="1:14" ht="27.9" customHeight="1" x14ac:dyDescent="0.3">
      <c r="A81" s="31"/>
      <c r="B81" s="30"/>
      <c r="C81" s="31"/>
      <c r="D81" s="31"/>
      <c r="E81" s="30"/>
      <c r="F81" s="31"/>
      <c r="G81" s="31"/>
      <c r="H81" s="30"/>
      <c r="I81" s="31" t="str">
        <f>IF(F81="","",IF(F81="Tecnicatura en composición coreográfica en ddv fusión","Jime",CONCATENATE(VLOOKUP(G81,OPCIONES!D:E,2,0),VLOOKUP(H81,OPCIONES!$G$2:$H$8,2,0))))</f>
        <v/>
      </c>
      <c r="J81" s="49">
        <f t="shared" si="2"/>
        <v>15000</v>
      </c>
      <c r="K81" s="49" t="s">
        <v>91</v>
      </c>
      <c r="L81" s="49" t="s">
        <v>176</v>
      </c>
      <c r="M81" s="49" t="s">
        <v>254</v>
      </c>
      <c r="N81" s="49" t="str">
        <f>IF(F81="","",VLOOKUP(F81,OPCIONES!A:B,2,0))</f>
        <v/>
      </c>
    </row>
    <row r="82" spans="1:14" ht="27.9" customHeight="1" x14ac:dyDescent="0.3">
      <c r="A82" s="31"/>
      <c r="B82" s="30"/>
      <c r="C82" s="31"/>
      <c r="D82" s="31"/>
      <c r="E82" s="30"/>
      <c r="F82" s="31"/>
      <c r="G82" s="31"/>
      <c r="H82" s="30"/>
      <c r="I82" s="31" t="str">
        <f>IF(F82="","",IF(F82="Tecnicatura en composición coreográfica en ddv fusión","Jime",CONCATENATE(VLOOKUP(G82,OPCIONES!D:E,2,0),VLOOKUP(H82,OPCIONES!$G$2:$H$8,2,0))))</f>
        <v/>
      </c>
      <c r="J82" s="49">
        <f t="shared" si="2"/>
        <v>15000</v>
      </c>
      <c r="K82" s="49" t="s">
        <v>91</v>
      </c>
      <c r="L82" s="49" t="s">
        <v>176</v>
      </c>
      <c r="M82" s="49" t="s">
        <v>254</v>
      </c>
      <c r="N82" s="49" t="str">
        <f>IF(F82="","",VLOOKUP(F82,OPCIONES!A:B,2,0))</f>
        <v/>
      </c>
    </row>
    <row r="83" spans="1:14" ht="27.9" customHeight="1" x14ac:dyDescent="0.3">
      <c r="A83" s="31"/>
      <c r="B83" s="30"/>
      <c r="C83" s="31"/>
      <c r="D83" s="31"/>
      <c r="E83" s="30"/>
      <c r="F83" s="31"/>
      <c r="G83" s="31"/>
      <c r="H83" s="30"/>
      <c r="I83" s="31" t="str">
        <f>IF(F83="","",IF(F83="Tecnicatura en composición coreográfica en ddv fusión","Jime",CONCATENATE(VLOOKUP(G83,OPCIONES!D:E,2,0),VLOOKUP(H83,OPCIONES!$G$2:$H$8,2,0))))</f>
        <v/>
      </c>
      <c r="J83" s="49">
        <f t="shared" si="2"/>
        <v>15000</v>
      </c>
      <c r="K83" s="49" t="s">
        <v>91</v>
      </c>
      <c r="L83" s="49" t="s">
        <v>176</v>
      </c>
      <c r="M83" s="49" t="s">
        <v>254</v>
      </c>
      <c r="N83" s="49" t="str">
        <f>IF(F83="","",VLOOKUP(F83,OPCIONES!A:B,2,0))</f>
        <v/>
      </c>
    </row>
    <row r="84" spans="1:14" ht="27.9" customHeight="1" x14ac:dyDescent="0.3">
      <c r="A84" s="31"/>
      <c r="B84" s="30"/>
      <c r="C84" s="31"/>
      <c r="D84" s="31"/>
      <c r="E84" s="30"/>
      <c r="F84" s="31"/>
      <c r="G84" s="31"/>
      <c r="H84" s="30"/>
      <c r="I84" s="31" t="str">
        <f>IF(F84="","",IF(F84="Tecnicatura en composición coreográfica en ddv fusión","Jime",CONCATENATE(VLOOKUP(G84,OPCIONES!D:E,2,0),VLOOKUP(H84,OPCIONES!$G$2:$H$8,2,0))))</f>
        <v/>
      </c>
      <c r="J84" s="49">
        <f t="shared" si="2"/>
        <v>15000</v>
      </c>
      <c r="K84" s="49" t="s">
        <v>91</v>
      </c>
      <c r="L84" s="49" t="s">
        <v>176</v>
      </c>
      <c r="M84" s="49" t="s">
        <v>254</v>
      </c>
      <c r="N84" s="49" t="str">
        <f>IF(F84="","",VLOOKUP(F84,OPCIONES!A:B,2,0))</f>
        <v/>
      </c>
    </row>
    <row r="85" spans="1:14" ht="27.9" customHeight="1" x14ac:dyDescent="0.3">
      <c r="A85" s="31"/>
      <c r="B85" s="30"/>
      <c r="C85" s="31"/>
      <c r="D85" s="31"/>
      <c r="E85" s="30"/>
      <c r="F85" s="31"/>
      <c r="G85" s="31"/>
      <c r="H85" s="30"/>
      <c r="I85" s="31" t="str">
        <f>IF(F85="","",IF(F85="Tecnicatura en composición coreográfica en ddv fusión","Jime",CONCATENATE(VLOOKUP(G85,OPCIONES!D:E,2,0),VLOOKUP(H85,OPCIONES!$G$2:$H$8,2,0))))</f>
        <v/>
      </c>
      <c r="J85" s="49">
        <f t="shared" si="2"/>
        <v>15000</v>
      </c>
      <c r="K85" s="49" t="s">
        <v>91</v>
      </c>
      <c r="L85" s="49" t="s">
        <v>176</v>
      </c>
      <c r="M85" s="49" t="s">
        <v>254</v>
      </c>
      <c r="N85" s="49" t="str">
        <f>IF(F85="","",VLOOKUP(F85,OPCIONES!A:B,2,0))</f>
        <v/>
      </c>
    </row>
    <row r="86" spans="1:14" ht="27.9" customHeight="1" x14ac:dyDescent="0.3">
      <c r="A86" s="31"/>
      <c r="B86" s="30"/>
      <c r="C86" s="31"/>
      <c r="D86" s="31"/>
      <c r="E86" s="30"/>
      <c r="F86" s="31"/>
      <c r="G86" s="31"/>
      <c r="H86" s="30"/>
      <c r="I86" s="31" t="str">
        <f>IF(F86="","",IF(F86="Tecnicatura en composición coreográfica en ddv fusión","Jime",CONCATENATE(VLOOKUP(G86,OPCIONES!D:E,2,0),VLOOKUP(H86,OPCIONES!$G$2:$H$8,2,0))))</f>
        <v/>
      </c>
      <c r="J86" s="49">
        <f t="shared" si="2"/>
        <v>15000</v>
      </c>
      <c r="K86" s="49" t="s">
        <v>91</v>
      </c>
      <c r="L86" s="49" t="s">
        <v>176</v>
      </c>
      <c r="M86" s="49" t="s">
        <v>254</v>
      </c>
      <c r="N86" s="49" t="str">
        <f>IF(F86="","",VLOOKUP(F86,OPCIONES!A:B,2,0))</f>
        <v/>
      </c>
    </row>
    <row r="87" spans="1:14" ht="27.9" customHeight="1" x14ac:dyDescent="0.3">
      <c r="A87" s="31"/>
      <c r="B87" s="30"/>
      <c r="C87" s="31"/>
      <c r="D87" s="31"/>
      <c r="E87" s="30"/>
      <c r="F87" s="31"/>
      <c r="G87" s="31"/>
      <c r="H87" s="30"/>
      <c r="I87" s="31" t="str">
        <f>IF(F87="","",IF(F87="Tecnicatura en composición coreográfica en ddv fusión","Jime",CONCATENATE(VLOOKUP(G87,OPCIONES!D:E,2,0),VLOOKUP(H87,OPCIONES!$G$2:$H$8,2,0))))</f>
        <v/>
      </c>
      <c r="J87" s="49">
        <f t="shared" si="2"/>
        <v>15000</v>
      </c>
      <c r="K87" s="49" t="s">
        <v>91</v>
      </c>
      <c r="L87" s="49" t="s">
        <v>176</v>
      </c>
      <c r="M87" s="49" t="s">
        <v>254</v>
      </c>
      <c r="N87" s="49" t="str">
        <f>IF(F87="","",VLOOKUP(F87,OPCIONES!A:B,2,0))</f>
        <v/>
      </c>
    </row>
    <row r="88" spans="1:14" ht="27.9" customHeight="1" x14ac:dyDescent="0.3">
      <c r="A88" s="31"/>
      <c r="B88" s="30"/>
      <c r="C88" s="31"/>
      <c r="D88" s="31"/>
      <c r="E88" s="30"/>
      <c r="F88" s="31"/>
      <c r="G88" s="31"/>
      <c r="H88" s="30"/>
      <c r="I88" s="31" t="str">
        <f>IF(F88="","",IF(F88="Tecnicatura en composición coreográfica en ddv fusión","Jime",CONCATENATE(VLOOKUP(G88,OPCIONES!D:E,2,0),VLOOKUP(H88,OPCIONES!$G$2:$H$8,2,0))))</f>
        <v/>
      </c>
      <c r="J88" s="49">
        <f t="shared" si="2"/>
        <v>15000</v>
      </c>
      <c r="K88" s="49" t="s">
        <v>91</v>
      </c>
      <c r="L88" s="49" t="s">
        <v>176</v>
      </c>
      <c r="M88" s="49" t="s">
        <v>254</v>
      </c>
      <c r="N88" s="49" t="str">
        <f>IF(F88="","",VLOOKUP(F88,OPCIONES!A:B,2,0))</f>
        <v/>
      </c>
    </row>
    <row r="89" spans="1:14" ht="27.9" customHeight="1" x14ac:dyDescent="0.3">
      <c r="A89" s="31"/>
      <c r="B89" s="30"/>
      <c r="C89" s="31"/>
      <c r="D89" s="31"/>
      <c r="E89" s="30"/>
      <c r="F89" s="31"/>
      <c r="G89" s="31"/>
      <c r="H89" s="30"/>
      <c r="I89" s="31" t="str">
        <f>IF(F89="","",IF(F89="Tecnicatura en composición coreográfica en ddv fusión","Jime",CONCATENATE(VLOOKUP(G89,OPCIONES!D:E,2,0),VLOOKUP(H89,OPCIONES!$G$2:$H$8,2,0))))</f>
        <v/>
      </c>
      <c r="J89" s="49">
        <f t="shared" si="2"/>
        <v>15000</v>
      </c>
      <c r="K89" s="49" t="s">
        <v>91</v>
      </c>
      <c r="L89" s="49" t="s">
        <v>176</v>
      </c>
      <c r="M89" s="49" t="s">
        <v>254</v>
      </c>
      <c r="N89" s="49" t="s">
        <v>254</v>
      </c>
    </row>
    <row r="90" spans="1:14" ht="27.9" customHeight="1" x14ac:dyDescent="0.3">
      <c r="A90" s="31"/>
      <c r="B90" s="30"/>
      <c r="C90" s="31"/>
      <c r="D90" s="31"/>
      <c r="E90" s="30"/>
      <c r="F90" s="31"/>
      <c r="G90" s="31"/>
      <c r="H90" s="30"/>
      <c r="I90" s="31" t="str">
        <f>IF(F90="","",IF(F90="Tecnicatura en composición coreográfica en ddv fusión","Jime",CONCATENATE(VLOOKUP(G90,OPCIONES!D:E,2,0),VLOOKUP(H90,OPCIONES!$G$2:$H$8,2,0))))</f>
        <v/>
      </c>
      <c r="J90" s="49">
        <f t="shared" si="2"/>
        <v>15000</v>
      </c>
      <c r="K90" s="49" t="s">
        <v>91</v>
      </c>
      <c r="L90" s="49" t="s">
        <v>176</v>
      </c>
      <c r="M90" s="49" t="s">
        <v>254</v>
      </c>
      <c r="N90" s="49" t="s">
        <v>254</v>
      </c>
    </row>
    <row r="91" spans="1:14" ht="27.9" customHeight="1" x14ac:dyDescent="0.3">
      <c r="A91" s="31"/>
      <c r="B91" s="30"/>
      <c r="C91" s="31"/>
      <c r="D91" s="31"/>
      <c r="E91" s="30"/>
      <c r="F91" s="31"/>
      <c r="G91" s="31"/>
      <c r="H91" s="30"/>
      <c r="I91" s="31" t="str">
        <f>IF(F91="","",IF(F91="Tecnicatura en composición coreográfica en ddv fusión","Jime",CONCATENATE(VLOOKUP(G91,OPCIONES!D:E,2,0),VLOOKUP(H91,OPCIONES!$G$2:$H$8,2,0))))</f>
        <v/>
      </c>
      <c r="J91" s="49">
        <f t="shared" si="2"/>
        <v>15000</v>
      </c>
      <c r="K91" s="49" t="s">
        <v>91</v>
      </c>
      <c r="L91" s="49" t="s">
        <v>176</v>
      </c>
      <c r="M91" s="49" t="s">
        <v>254</v>
      </c>
      <c r="N91" s="49" t="s">
        <v>254</v>
      </c>
    </row>
    <row r="92" spans="1:14" ht="27.9" customHeight="1" x14ac:dyDescent="0.3">
      <c r="A92" s="31"/>
      <c r="B92" s="30"/>
      <c r="C92" s="31"/>
      <c r="D92" s="31"/>
      <c r="E92" s="30"/>
      <c r="F92" s="31"/>
      <c r="G92" s="31"/>
      <c r="H92" s="30"/>
      <c r="I92" s="31" t="str">
        <f>IF(F92="","",IF(F92="Tecnicatura en composición coreográfica en ddv fusión","Jime",CONCATENATE(VLOOKUP(G92,OPCIONES!D:E,2,0),VLOOKUP(H92,OPCIONES!$G$2:$H$8,2,0))))</f>
        <v/>
      </c>
      <c r="J92" s="49">
        <f t="shared" si="2"/>
        <v>15000</v>
      </c>
      <c r="K92" s="49" t="s">
        <v>91</v>
      </c>
      <c r="L92" s="49" t="s">
        <v>176</v>
      </c>
      <c r="M92" s="49" t="s">
        <v>254</v>
      </c>
      <c r="N92" s="49" t="s">
        <v>254</v>
      </c>
    </row>
    <row r="93" spans="1:14" ht="27.9" customHeight="1" x14ac:dyDescent="0.3">
      <c r="A93" s="31"/>
      <c r="B93" s="30"/>
      <c r="C93" s="31"/>
      <c r="D93" s="31"/>
      <c r="E93" s="30"/>
      <c r="F93" s="31"/>
      <c r="G93" s="31"/>
      <c r="H93" s="30"/>
      <c r="I93" s="31" t="str">
        <f>IF(F93="","",IF(F93="Tecnicatura en composición coreográfica en ddv fusión","Jime",CONCATENATE(VLOOKUP(G93,OPCIONES!D:E,2,0),VLOOKUP(H93,OPCIONES!$G$2:$H$8,2,0))))</f>
        <v/>
      </c>
      <c r="J93" s="49">
        <f t="shared" si="2"/>
        <v>15000</v>
      </c>
      <c r="K93" s="49" t="s">
        <v>91</v>
      </c>
      <c r="L93" s="49" t="s">
        <v>176</v>
      </c>
      <c r="M93" s="49" t="s">
        <v>254</v>
      </c>
      <c r="N93" s="49" t="s">
        <v>254</v>
      </c>
    </row>
    <row r="94" spans="1:14" ht="27.9" customHeight="1" x14ac:dyDescent="0.3">
      <c r="A94" s="31"/>
      <c r="B94" s="30"/>
      <c r="C94" s="31"/>
      <c r="D94" s="31"/>
      <c r="E94" s="30"/>
      <c r="F94" s="31"/>
      <c r="G94" s="31"/>
      <c r="H94" s="30"/>
      <c r="I94" s="31" t="str">
        <f>IF(F94="","",IF(F94="Tecnicatura en composición coreográfica en ddv fusión","Jime",CONCATENATE(VLOOKUP(G94,OPCIONES!D:E,2,0),VLOOKUP(H94,OPCIONES!$G$2:$H$8,2,0))))</f>
        <v/>
      </c>
      <c r="J94" s="49">
        <f t="shared" si="2"/>
        <v>15000</v>
      </c>
      <c r="K94" s="49" t="s">
        <v>91</v>
      </c>
      <c r="L94" s="49" t="s">
        <v>176</v>
      </c>
      <c r="M94" s="49" t="s">
        <v>254</v>
      </c>
      <c r="N94" s="49" t="s">
        <v>254</v>
      </c>
    </row>
    <row r="95" spans="1:14" ht="27.9" customHeight="1" x14ac:dyDescent="0.3">
      <c r="A95" s="31"/>
      <c r="B95" s="30"/>
      <c r="C95" s="31"/>
      <c r="D95" s="31"/>
      <c r="E95" s="30"/>
      <c r="F95" s="31"/>
      <c r="G95" s="31"/>
      <c r="H95" s="30"/>
      <c r="I95" s="31" t="str">
        <f>IF(F95="","",IF(F95="Tecnicatura en composición coreográfica en ddv fusión","Jime",CONCATENATE(VLOOKUP(G95,OPCIONES!D:E,2,0),VLOOKUP(H95,OPCIONES!$G$2:$H$8,2,0))))</f>
        <v/>
      </c>
      <c r="J95" s="49">
        <f t="shared" si="2"/>
        <v>15000</v>
      </c>
      <c r="K95" s="49" t="s">
        <v>91</v>
      </c>
      <c r="L95" s="49" t="s">
        <v>176</v>
      </c>
      <c r="M95" s="49" t="s">
        <v>254</v>
      </c>
      <c r="N95" s="49" t="s">
        <v>254</v>
      </c>
    </row>
    <row r="96" spans="1:14" ht="27.9" customHeight="1" x14ac:dyDescent="0.3">
      <c r="A96" s="31"/>
      <c r="B96" s="30"/>
      <c r="C96" s="31"/>
      <c r="D96" s="31"/>
      <c r="E96" s="30"/>
      <c r="F96" s="31"/>
      <c r="G96" s="31"/>
      <c r="H96" s="30"/>
      <c r="I96" s="31" t="str">
        <f>IF(F96="","",IF(F96="Tecnicatura en composición coreográfica en ddv fusión","Jime",CONCATENATE(VLOOKUP(G96,OPCIONES!D:E,2,0),VLOOKUP(H96,OPCIONES!$G$2:$H$8,2,0))))</f>
        <v/>
      </c>
      <c r="J96" s="49">
        <f t="shared" si="2"/>
        <v>15000</v>
      </c>
      <c r="K96" s="49" t="s">
        <v>91</v>
      </c>
      <c r="L96" s="49" t="s">
        <v>176</v>
      </c>
      <c r="M96" s="49" t="s">
        <v>254</v>
      </c>
      <c r="N96" s="49" t="s">
        <v>254</v>
      </c>
    </row>
    <row r="97" spans="1:14" ht="27.9" customHeight="1" x14ac:dyDescent="0.3">
      <c r="A97" s="31"/>
      <c r="B97" s="30"/>
      <c r="C97" s="31"/>
      <c r="D97" s="31"/>
      <c r="E97" s="30"/>
      <c r="F97" s="31"/>
      <c r="G97" s="31"/>
      <c r="H97" s="30"/>
      <c r="I97" s="31" t="str">
        <f>IF(F97="","",IF(F97="Tecnicatura en composición coreográfica en ddv fusión","Jime",CONCATENATE(VLOOKUP(G97,OPCIONES!D:E,2,0),VLOOKUP(H97,OPCIONES!$G$2:$H$8,2,0))))</f>
        <v/>
      </c>
      <c r="J97" s="49">
        <f t="shared" si="2"/>
        <v>15000</v>
      </c>
      <c r="K97" s="49" t="s">
        <v>91</v>
      </c>
      <c r="L97" s="49" t="s">
        <v>176</v>
      </c>
      <c r="M97" s="49" t="s">
        <v>254</v>
      </c>
      <c r="N97" s="49" t="s">
        <v>254</v>
      </c>
    </row>
    <row r="98" spans="1:14" ht="27.9" customHeight="1" x14ac:dyDescent="0.3">
      <c r="A98" s="31"/>
      <c r="B98" s="30"/>
      <c r="C98" s="31"/>
      <c r="D98" s="31"/>
      <c r="E98" s="30"/>
      <c r="F98" s="31"/>
      <c r="G98" s="31"/>
      <c r="H98" s="30"/>
      <c r="I98" s="31" t="str">
        <f>IF(F98="","",IF(F98="Tecnicatura en composición coreográfica en ddv fusión","Jime",CONCATENATE(VLOOKUP(G98,OPCIONES!D:E,2,0),VLOOKUP(H98,OPCIONES!$G$2:$H$8,2,0))))</f>
        <v/>
      </c>
      <c r="J98" s="49">
        <f t="shared" si="2"/>
        <v>15000</v>
      </c>
      <c r="K98" s="49" t="s">
        <v>91</v>
      </c>
      <c r="L98" s="49" t="s">
        <v>176</v>
      </c>
      <c r="M98" s="49" t="s">
        <v>254</v>
      </c>
      <c r="N98" s="49" t="s">
        <v>254</v>
      </c>
    </row>
    <row r="99" spans="1:14" ht="27.9" customHeight="1" x14ac:dyDescent="0.3">
      <c r="A99" s="31"/>
      <c r="B99" s="30"/>
      <c r="C99" s="31"/>
      <c r="D99" s="31"/>
      <c r="E99" s="30"/>
      <c r="F99" s="31"/>
      <c r="G99" s="31"/>
      <c r="H99" s="30"/>
      <c r="I99" s="31" t="str">
        <f>IF(F99="","",IF(F99="Tecnicatura en composición coreográfica en ddv fusión","Jime",CONCATENATE(VLOOKUP(G99,OPCIONES!D:E,2,0),VLOOKUP(H99,OPCIONES!$G$2:$H$8,2,0))))</f>
        <v/>
      </c>
      <c r="J99" s="49">
        <f t="shared" si="2"/>
        <v>15000</v>
      </c>
      <c r="K99" s="49" t="s">
        <v>91</v>
      </c>
      <c r="L99" s="49" t="s">
        <v>176</v>
      </c>
      <c r="M99" s="49" t="s">
        <v>254</v>
      </c>
      <c r="N99" s="49" t="s">
        <v>254</v>
      </c>
    </row>
    <row r="100" spans="1:14" ht="27.9" customHeight="1" x14ac:dyDescent="0.3">
      <c r="A100" s="31"/>
      <c r="B100" s="30"/>
      <c r="C100" s="31"/>
      <c r="D100" s="31"/>
      <c r="E100" s="30"/>
      <c r="F100" s="31"/>
      <c r="G100" s="31"/>
      <c r="H100" s="30"/>
      <c r="I100" s="31" t="str">
        <f>IF(F100="","",IF(F100="Tecnicatura en composición coreográfica en ddv fusión","Jime",CONCATENATE(VLOOKUP(G100,OPCIONES!D:E,2,0),VLOOKUP(H100,OPCIONES!$G$2:$H$8,2,0))))</f>
        <v/>
      </c>
      <c r="J100" s="49">
        <f t="shared" si="2"/>
        <v>15000</v>
      </c>
      <c r="K100" s="49" t="s">
        <v>91</v>
      </c>
      <c r="L100" s="49" t="s">
        <v>176</v>
      </c>
      <c r="M100" s="49" t="s">
        <v>254</v>
      </c>
      <c r="N100" s="49" t="s">
        <v>254</v>
      </c>
    </row>
    <row r="101" spans="1:14" ht="27.9" customHeight="1" x14ac:dyDescent="0.3">
      <c r="A101" s="31"/>
      <c r="B101" s="30"/>
      <c r="C101" s="31"/>
      <c r="D101" s="31"/>
      <c r="E101" s="30"/>
      <c r="F101" s="31"/>
      <c r="G101" s="31"/>
      <c r="H101" s="30"/>
      <c r="I101" s="31" t="str">
        <f>IF(F101="","",IF(F101="Tecnicatura en composición coreográfica en ddv fusión","Jime",CONCATENATE(VLOOKUP(G101,OPCIONES!D:E,2,0),VLOOKUP(H101,OPCIONES!$G$2:$H$8,2,0))))</f>
        <v/>
      </c>
      <c r="J101" s="49">
        <f t="shared" si="2"/>
        <v>15000</v>
      </c>
      <c r="K101" s="49" t="s">
        <v>91</v>
      </c>
      <c r="L101" s="49" t="s">
        <v>176</v>
      </c>
      <c r="M101" s="49" t="s">
        <v>254</v>
      </c>
      <c r="N101" s="49" t="s">
        <v>254</v>
      </c>
    </row>
    <row r="102" spans="1:14" ht="27.9" customHeight="1" x14ac:dyDescent="0.3">
      <c r="A102" s="31"/>
      <c r="B102" s="30"/>
      <c r="C102" s="31"/>
      <c r="D102" s="31"/>
      <c r="E102" s="30"/>
      <c r="F102" s="31"/>
      <c r="G102" s="31"/>
      <c r="H102" s="30"/>
      <c r="I102" s="31" t="str">
        <f>IF(F102="","",IF(F102="Tecnicatura en composición coreográfica en ddv fusión","Jime",CONCATENATE(VLOOKUP(G102,OPCIONES!D:E,2,0),VLOOKUP(H102,OPCIONES!$G$2:$H$8,2,0))))</f>
        <v/>
      </c>
      <c r="J102" s="49">
        <f t="shared" si="2"/>
        <v>15000</v>
      </c>
      <c r="K102" s="49" t="s">
        <v>91</v>
      </c>
      <c r="L102" s="49" t="s">
        <v>176</v>
      </c>
      <c r="M102" s="49" t="s">
        <v>254</v>
      </c>
      <c r="N102" s="49" t="s">
        <v>254</v>
      </c>
    </row>
    <row r="103" spans="1:14" ht="27.9" customHeight="1" x14ac:dyDescent="0.3">
      <c r="A103" s="31"/>
      <c r="B103" s="30"/>
      <c r="C103" s="31"/>
      <c r="D103" s="31"/>
      <c r="E103" s="30"/>
      <c r="F103" s="31"/>
      <c r="G103" s="31"/>
      <c r="H103" s="30"/>
      <c r="I103" s="31" t="str">
        <f>IF(F103="","",IF(F103="Tecnicatura en composición coreográfica en ddv fusión","Jime",CONCATENATE(VLOOKUP(G103,OPCIONES!D:E,2,0),VLOOKUP(H103,OPCIONES!$G$2:$H$8,2,0))))</f>
        <v/>
      </c>
      <c r="J103" s="49">
        <f t="shared" si="2"/>
        <v>15000</v>
      </c>
      <c r="K103" s="49" t="s">
        <v>91</v>
      </c>
      <c r="L103" s="49" t="s">
        <v>176</v>
      </c>
      <c r="M103" s="49" t="s">
        <v>254</v>
      </c>
      <c r="N103" s="49" t="s">
        <v>254</v>
      </c>
    </row>
    <row r="104" spans="1:14" ht="27.9" customHeight="1" x14ac:dyDescent="0.3">
      <c r="A104" s="31"/>
      <c r="B104" s="30"/>
      <c r="C104" s="31"/>
      <c r="D104" s="31"/>
      <c r="E104" s="30"/>
      <c r="F104" s="31"/>
      <c r="G104" s="31"/>
      <c r="H104" s="30"/>
      <c r="I104" s="31" t="str">
        <f>IF(F104="","",IF(F104="Tecnicatura en composición coreográfica en ddv fusión","Jime",CONCATENATE(VLOOKUP(G104,OPCIONES!D:E,2,0),VLOOKUP(H104,OPCIONES!$G$2:$H$8,2,0))))</f>
        <v/>
      </c>
      <c r="J104" s="49">
        <f t="shared" si="2"/>
        <v>15000</v>
      </c>
      <c r="K104" s="49" t="s">
        <v>91</v>
      </c>
      <c r="L104" s="49" t="s">
        <v>176</v>
      </c>
      <c r="M104" s="49" t="s">
        <v>254</v>
      </c>
      <c r="N104" s="49" t="s">
        <v>254</v>
      </c>
    </row>
    <row r="105" spans="1:14" ht="27.9" customHeight="1" x14ac:dyDescent="0.3">
      <c r="A105" s="31"/>
      <c r="B105" s="30"/>
      <c r="C105" s="31"/>
      <c r="D105" s="31"/>
      <c r="E105" s="30"/>
      <c r="F105" s="31"/>
      <c r="G105" s="31"/>
      <c r="H105" s="30"/>
      <c r="I105" s="31" t="str">
        <f>IF(F105="","",IF(F105="Tecnicatura en composición coreográfica en ddv fusión","Jime",CONCATENATE(VLOOKUP(G105,OPCIONES!D:E,2,0),VLOOKUP(H105,OPCIONES!$G$2:$H$8,2,0))))</f>
        <v/>
      </c>
      <c r="J105" s="49">
        <f t="shared" si="2"/>
        <v>15000</v>
      </c>
      <c r="K105" s="49" t="s">
        <v>91</v>
      </c>
      <c r="L105" s="49" t="s">
        <v>176</v>
      </c>
      <c r="M105" s="49" t="s">
        <v>254</v>
      </c>
      <c r="N105" s="49" t="s">
        <v>254</v>
      </c>
    </row>
    <row r="106" spans="1:14" ht="27.9" customHeight="1" x14ac:dyDescent="0.3">
      <c r="A106" s="31"/>
      <c r="B106" s="30"/>
      <c r="C106" s="31"/>
      <c r="D106" s="31"/>
      <c r="E106" s="30"/>
      <c r="F106" s="31"/>
      <c r="G106" s="31"/>
      <c r="H106" s="30"/>
      <c r="I106" s="31" t="str">
        <f>IF(F106="","",IF(F106="Tecnicatura en composición coreográfica en ddv fusión","Jime",CONCATENATE(VLOOKUP(G106,OPCIONES!D:E,2,0),VLOOKUP(H106,OPCIONES!$G$2:$H$8,2,0))))</f>
        <v/>
      </c>
      <c r="J106" s="49">
        <f t="shared" si="2"/>
        <v>15000</v>
      </c>
      <c r="K106" s="49" t="s">
        <v>91</v>
      </c>
      <c r="L106" s="49" t="s">
        <v>176</v>
      </c>
      <c r="M106" s="49" t="s">
        <v>254</v>
      </c>
      <c r="N106" s="49" t="s">
        <v>254</v>
      </c>
    </row>
    <row r="107" spans="1:14" ht="27.9" customHeight="1" x14ac:dyDescent="0.3">
      <c r="A107" s="31"/>
      <c r="B107" s="30"/>
      <c r="C107" s="31"/>
      <c r="D107" s="31"/>
      <c r="E107" s="30"/>
      <c r="F107" s="31"/>
      <c r="G107" s="31"/>
      <c r="H107" s="30"/>
      <c r="I107" s="31" t="str">
        <f>IF(F107="","",IF(F107="Tecnicatura en composición coreográfica en ddv fusión","Jime",CONCATENATE(VLOOKUP(G107,OPCIONES!D:E,2,0),VLOOKUP(H107,OPCIONES!$G$2:$H$8,2,0))))</f>
        <v/>
      </c>
      <c r="J107" s="49">
        <f t="shared" si="2"/>
        <v>15000</v>
      </c>
      <c r="K107" s="49" t="s">
        <v>91</v>
      </c>
      <c r="L107" s="49" t="s">
        <v>176</v>
      </c>
      <c r="M107" s="49" t="s">
        <v>254</v>
      </c>
      <c r="N107" s="49" t="s">
        <v>254</v>
      </c>
    </row>
    <row r="108" spans="1:14" ht="27.9" customHeight="1" x14ac:dyDescent="0.3">
      <c r="A108" s="31"/>
      <c r="B108" s="30"/>
      <c r="C108" s="31"/>
      <c r="D108" s="31"/>
      <c r="E108" s="30"/>
      <c r="F108" s="31"/>
      <c r="G108" s="31"/>
      <c r="H108" s="30"/>
      <c r="I108" s="31" t="str">
        <f>IF(F108="","",IF(F108="Tecnicatura en composición coreográfica en ddv fusión","Jime",CONCATENATE(VLOOKUP(G108,OPCIONES!D:E,2,0),VLOOKUP(H108,OPCIONES!$G$2:$H$8,2,0))))</f>
        <v/>
      </c>
      <c r="J108" s="49">
        <f t="shared" si="2"/>
        <v>15000</v>
      </c>
      <c r="K108" s="49" t="s">
        <v>91</v>
      </c>
      <c r="L108" s="49" t="s">
        <v>176</v>
      </c>
      <c r="M108" s="49" t="s">
        <v>254</v>
      </c>
      <c r="N108" s="49" t="s">
        <v>254</v>
      </c>
    </row>
    <row r="109" spans="1:14" ht="27.9" customHeight="1" x14ac:dyDescent="0.3">
      <c r="A109" s="31"/>
      <c r="B109" s="30"/>
      <c r="C109" s="31"/>
      <c r="D109" s="31"/>
      <c r="E109" s="30"/>
      <c r="F109" s="31"/>
      <c r="G109" s="31"/>
      <c r="H109" s="30"/>
      <c r="I109" s="31" t="str">
        <f>IF(F109="","",IF(F109="Tecnicatura en composición coreográfica en ddv fusión","Jime",CONCATENATE(VLOOKUP(G109,OPCIONES!D:E,2,0),VLOOKUP(H109,OPCIONES!$G$2:$H$8,2,0))))</f>
        <v/>
      </c>
      <c r="J109" s="49">
        <f t="shared" si="2"/>
        <v>15000</v>
      </c>
      <c r="K109" s="49" t="s">
        <v>91</v>
      </c>
      <c r="L109" s="49" t="s">
        <v>176</v>
      </c>
      <c r="M109" s="49" t="s">
        <v>254</v>
      </c>
      <c r="N109" s="49" t="s">
        <v>254</v>
      </c>
    </row>
    <row r="110" spans="1:14" ht="27.9" customHeight="1" x14ac:dyDescent="0.3">
      <c r="A110" s="31"/>
      <c r="B110" s="30"/>
      <c r="C110" s="31"/>
      <c r="D110" s="31"/>
      <c r="E110" s="30"/>
      <c r="F110" s="31"/>
      <c r="G110" s="31"/>
      <c r="H110" s="30"/>
      <c r="I110" s="31" t="str">
        <f>IF(F110="","",IF(F110="Tecnicatura en composición coreográfica en ddv fusión","Jime",CONCATENATE(VLOOKUP(G110,OPCIONES!D:E,2,0),VLOOKUP(H110,OPCIONES!$G$2:$H$8,2,0))))</f>
        <v/>
      </c>
      <c r="J110" s="49">
        <f t="shared" si="2"/>
        <v>15000</v>
      </c>
      <c r="K110" s="49" t="s">
        <v>91</v>
      </c>
      <c r="L110" s="49" t="s">
        <v>176</v>
      </c>
      <c r="M110" s="49" t="s">
        <v>254</v>
      </c>
      <c r="N110" s="49" t="s">
        <v>254</v>
      </c>
    </row>
    <row r="111" spans="1:14" ht="27.9" customHeight="1" x14ac:dyDescent="0.3">
      <c r="A111" s="31"/>
      <c r="B111" s="30"/>
      <c r="C111" s="31"/>
      <c r="D111" s="31"/>
      <c r="E111" s="30"/>
      <c r="F111" s="31"/>
      <c r="G111" s="31"/>
      <c r="H111" s="30"/>
      <c r="I111" s="31" t="str">
        <f>IF(F111="","",IF(F111="Tecnicatura en composición coreográfica en ddv fusión","Jime",CONCATENATE(VLOOKUP(G111,OPCIONES!D:E,2,0),VLOOKUP(H111,OPCIONES!$G$2:$H$8,2,0))))</f>
        <v/>
      </c>
      <c r="J111" s="49">
        <f t="shared" si="2"/>
        <v>15000</v>
      </c>
      <c r="K111" s="49" t="s">
        <v>91</v>
      </c>
      <c r="L111" s="49" t="s">
        <v>176</v>
      </c>
      <c r="M111" s="49" t="s">
        <v>254</v>
      </c>
      <c r="N111" s="49" t="s">
        <v>254</v>
      </c>
    </row>
    <row r="112" spans="1:14" ht="27.9" customHeight="1" x14ac:dyDescent="0.3">
      <c r="A112" s="31"/>
      <c r="B112" s="30"/>
      <c r="C112" s="31"/>
      <c r="D112" s="31"/>
      <c r="E112" s="30"/>
      <c r="F112" s="31"/>
      <c r="G112" s="31"/>
      <c r="H112" s="30"/>
      <c r="I112" s="31" t="str">
        <f>IF(F112="","",IF(F112="Tecnicatura en composición coreográfica en ddv fusión","Jime",CONCATENATE(VLOOKUP(G112,OPCIONES!D:E,2,0),VLOOKUP(H112,OPCIONES!$G$2:$H$8,2,0))))</f>
        <v/>
      </c>
      <c r="J112" s="49">
        <f t="shared" si="2"/>
        <v>15000</v>
      </c>
      <c r="K112" s="49" t="s">
        <v>91</v>
      </c>
      <c r="L112" s="49" t="s">
        <v>176</v>
      </c>
      <c r="M112" s="49" t="s">
        <v>254</v>
      </c>
      <c r="N112" s="49" t="s">
        <v>254</v>
      </c>
    </row>
    <row r="113" spans="1:14" ht="27.9" customHeight="1" x14ac:dyDescent="0.3">
      <c r="A113" s="31"/>
      <c r="B113" s="30"/>
      <c r="C113" s="31"/>
      <c r="D113" s="31"/>
      <c r="E113" s="30"/>
      <c r="F113" s="31"/>
      <c r="G113" s="31"/>
      <c r="H113" s="30"/>
      <c r="I113" s="31" t="str">
        <f>IF(F113="","",IF(F113="Tecnicatura en composición coreográfica en ddv fusión","Jime",CONCATENATE(VLOOKUP(G113,OPCIONES!D:E,2,0),VLOOKUP(H113,OPCIONES!$G$2:$H$8,2,0))))</f>
        <v/>
      </c>
      <c r="J113" s="49">
        <f t="shared" si="2"/>
        <v>15000</v>
      </c>
      <c r="K113" s="49" t="s">
        <v>91</v>
      </c>
      <c r="L113" s="49" t="s">
        <v>176</v>
      </c>
      <c r="M113" s="49" t="s">
        <v>254</v>
      </c>
      <c r="N113" s="49" t="s">
        <v>254</v>
      </c>
    </row>
    <row r="114" spans="1:14" ht="27.9" customHeight="1" x14ac:dyDescent="0.3">
      <c r="A114" s="31"/>
      <c r="B114" s="30"/>
      <c r="C114" s="31"/>
      <c r="D114" s="31"/>
      <c r="E114" s="30"/>
      <c r="F114" s="31"/>
      <c r="G114" s="31"/>
      <c r="H114" s="30"/>
      <c r="I114" s="31" t="str">
        <f>IF(F114="","",IF(F114="Tecnicatura en composición coreográfica en ddv fusión","Jime",CONCATENATE(VLOOKUP(G114,OPCIONES!D:E,2,0),VLOOKUP(H114,OPCIONES!$G$2:$H$8,2,0))))</f>
        <v/>
      </c>
      <c r="J114" s="49">
        <f t="shared" si="2"/>
        <v>15000</v>
      </c>
      <c r="K114" s="49" t="s">
        <v>91</v>
      </c>
      <c r="L114" s="49" t="s">
        <v>176</v>
      </c>
      <c r="M114" s="49" t="s">
        <v>254</v>
      </c>
      <c r="N114" s="49" t="s">
        <v>254</v>
      </c>
    </row>
    <row r="115" spans="1:14" ht="27.9" customHeight="1" x14ac:dyDescent="0.3">
      <c r="A115" s="31"/>
      <c r="B115" s="30"/>
      <c r="C115" s="31"/>
      <c r="D115" s="31"/>
      <c r="E115" s="30"/>
      <c r="F115" s="31"/>
      <c r="G115" s="31"/>
      <c r="H115" s="30"/>
      <c r="I115" s="31" t="str">
        <f>IF(F115="","",IF(F115="Tecnicatura en composición coreográfica en ddv fusión","Jime",CONCATENATE(VLOOKUP(G115,OPCIONES!D:E,2,0),VLOOKUP(H115,OPCIONES!$G$2:$H$8,2,0))))</f>
        <v/>
      </c>
      <c r="J115" s="49">
        <f t="shared" si="2"/>
        <v>15000</v>
      </c>
      <c r="K115" s="49" t="s">
        <v>91</v>
      </c>
      <c r="L115" s="49" t="s">
        <v>176</v>
      </c>
      <c r="M115" s="49" t="s">
        <v>254</v>
      </c>
      <c r="N115" s="49" t="s">
        <v>254</v>
      </c>
    </row>
    <row r="116" spans="1:14" ht="27.9" customHeight="1" x14ac:dyDescent="0.3">
      <c r="A116" s="31"/>
      <c r="B116" s="30"/>
      <c r="C116" s="31"/>
      <c r="D116" s="31"/>
      <c r="E116" s="30"/>
      <c r="F116" s="31"/>
      <c r="G116" s="31"/>
      <c r="H116" s="30"/>
      <c r="I116" s="31" t="str">
        <f>IF(F116="","",IF(F116="Tecnicatura en composición coreográfica en ddv fusión","Jime",CONCATENATE(VLOOKUP(G116,OPCIONES!D:E,2,0),VLOOKUP(H116,OPCIONES!$G$2:$H$8,2,0))))</f>
        <v/>
      </c>
      <c r="J116" s="49">
        <f t="shared" si="2"/>
        <v>15000</v>
      </c>
      <c r="K116" s="49" t="s">
        <v>91</v>
      </c>
      <c r="L116" s="49" t="s">
        <v>176</v>
      </c>
      <c r="M116" s="49" t="s">
        <v>254</v>
      </c>
      <c r="N116" s="49" t="s">
        <v>254</v>
      </c>
    </row>
    <row r="117" spans="1:14" ht="27.9" customHeight="1" x14ac:dyDescent="0.3">
      <c r="A117" s="31"/>
      <c r="B117" s="30"/>
      <c r="C117" s="31"/>
      <c r="D117" s="31"/>
      <c r="E117" s="30"/>
      <c r="F117" s="31"/>
      <c r="G117" s="31"/>
      <c r="H117" s="30"/>
      <c r="I117" s="31" t="str">
        <f>IF(F117="","",IF(F117="Tecnicatura en composición coreográfica en ddv fusión","Jime",CONCATENATE(VLOOKUP(G117,OPCIONES!D:E,2,0),VLOOKUP(H117,OPCIONES!$G$2:$H$8,2,0))))</f>
        <v/>
      </c>
      <c r="J117" s="49">
        <f t="shared" si="2"/>
        <v>15000</v>
      </c>
      <c r="K117" s="49" t="s">
        <v>91</v>
      </c>
      <c r="L117" s="49" t="s">
        <v>176</v>
      </c>
      <c r="M117" s="49" t="s">
        <v>254</v>
      </c>
      <c r="N117" s="49" t="s">
        <v>254</v>
      </c>
    </row>
    <row r="118" spans="1:14" ht="27.9" customHeight="1" x14ac:dyDescent="0.3">
      <c r="A118" s="31"/>
      <c r="B118" s="30"/>
      <c r="C118" s="31"/>
      <c r="D118" s="31"/>
      <c r="E118" s="30"/>
      <c r="F118" s="31"/>
      <c r="G118" s="31"/>
      <c r="H118" s="30"/>
      <c r="I118" s="31" t="str">
        <f>IF(F118="","",IF(F118="Tecnicatura en composición coreográfica en ddv fusión","Jime",CONCATENATE(VLOOKUP(G118,OPCIONES!D:E,2,0),VLOOKUP(H118,OPCIONES!$G$2:$H$8,2,0))))</f>
        <v/>
      </c>
      <c r="J118" s="49">
        <f t="shared" si="2"/>
        <v>15000</v>
      </c>
      <c r="K118" s="49" t="s">
        <v>91</v>
      </c>
      <c r="L118" s="49" t="s">
        <v>176</v>
      </c>
      <c r="M118" s="49" t="s">
        <v>254</v>
      </c>
      <c r="N118" s="49" t="s">
        <v>254</v>
      </c>
    </row>
    <row r="119" spans="1:14" ht="27.9" customHeight="1" x14ac:dyDescent="0.3">
      <c r="A119" s="31"/>
      <c r="B119" s="30"/>
      <c r="C119" s="31"/>
      <c r="D119" s="31"/>
      <c r="E119" s="30"/>
      <c r="F119" s="31"/>
      <c r="G119" s="31"/>
      <c r="H119" s="30"/>
      <c r="I119" s="31" t="str">
        <f>IF(F119="","",IF(F119="Tecnicatura en composición coreográfica en ddv fusión","Jime",CONCATENATE(VLOOKUP(G119,OPCIONES!D:E,2,0),VLOOKUP(H119,OPCIONES!$G$2:$H$8,2,0))))</f>
        <v/>
      </c>
      <c r="J119" s="49">
        <f t="shared" si="2"/>
        <v>15000</v>
      </c>
      <c r="K119" s="49" t="s">
        <v>91</v>
      </c>
      <c r="L119" s="49" t="s">
        <v>176</v>
      </c>
      <c r="M119" s="49" t="s">
        <v>254</v>
      </c>
      <c r="N119" s="49" t="s">
        <v>254</v>
      </c>
    </row>
    <row r="120" spans="1:14" ht="27.9" customHeight="1" x14ac:dyDescent="0.3">
      <c r="A120" s="31"/>
      <c r="B120" s="30"/>
      <c r="C120" s="31"/>
      <c r="D120" s="31"/>
      <c r="E120" s="30"/>
      <c r="F120" s="31"/>
      <c r="G120" s="31"/>
      <c r="H120" s="30"/>
      <c r="I120" s="31" t="str">
        <f>IF(F120="","",IF(F120="Tecnicatura en composición coreográfica en ddv fusión","Jime",CONCATENATE(VLOOKUP(G120,OPCIONES!D:E,2,0),VLOOKUP(H120,OPCIONES!$G$2:$H$8,2,0))))</f>
        <v/>
      </c>
      <c r="J120" s="49">
        <f t="shared" si="2"/>
        <v>15000</v>
      </c>
      <c r="K120" s="49" t="s">
        <v>91</v>
      </c>
      <c r="L120" s="49" t="s">
        <v>176</v>
      </c>
      <c r="M120" s="49" t="s">
        <v>254</v>
      </c>
      <c r="N120" s="49" t="s">
        <v>254</v>
      </c>
    </row>
    <row r="121" spans="1:14" ht="27.9" customHeight="1" x14ac:dyDescent="0.3">
      <c r="A121" s="31"/>
      <c r="B121" s="30"/>
      <c r="C121" s="31"/>
      <c r="D121" s="31"/>
      <c r="E121" s="30"/>
      <c r="F121" s="31"/>
      <c r="G121" s="31"/>
      <c r="H121" s="30"/>
      <c r="I121" s="31" t="str">
        <f>IF(F121="","",IF(F121="Tecnicatura en composición coreográfica en ddv fusión","Jime",CONCATENATE(VLOOKUP(G121,OPCIONES!D:E,2,0),VLOOKUP(H121,OPCIONES!$G$2:$H$8,2,0))))</f>
        <v/>
      </c>
      <c r="J121" s="49">
        <f t="shared" si="2"/>
        <v>15000</v>
      </c>
      <c r="K121" s="49" t="s">
        <v>91</v>
      </c>
      <c r="L121" s="49" t="s">
        <v>176</v>
      </c>
      <c r="M121" s="49" t="s">
        <v>254</v>
      </c>
      <c r="N121" s="49" t="s">
        <v>254</v>
      </c>
    </row>
    <row r="122" spans="1:14" ht="27.9" customHeight="1" x14ac:dyDescent="0.3">
      <c r="A122" s="31"/>
      <c r="B122" s="30"/>
      <c r="C122" s="31"/>
      <c r="D122" s="31"/>
      <c r="E122" s="30"/>
      <c r="F122" s="31"/>
      <c r="G122" s="31"/>
      <c r="H122" s="30"/>
      <c r="I122" s="31" t="str">
        <f>IF(F122="","",IF(F122="Tecnicatura en composición coreográfica en ddv fusión","Jime",CONCATENATE(VLOOKUP(G122,OPCIONES!D:E,2,0),VLOOKUP(H122,OPCIONES!$G$2:$H$8,2,0))))</f>
        <v/>
      </c>
      <c r="J122" s="49">
        <f t="shared" si="2"/>
        <v>15000</v>
      </c>
      <c r="K122" s="49" t="s">
        <v>91</v>
      </c>
      <c r="L122" s="49" t="s">
        <v>176</v>
      </c>
      <c r="M122" s="49" t="s">
        <v>254</v>
      </c>
      <c r="N122" s="49" t="s">
        <v>254</v>
      </c>
    </row>
    <row r="123" spans="1:14" ht="27.9" customHeight="1" x14ac:dyDescent="0.3">
      <c r="A123" s="31"/>
      <c r="B123" s="30"/>
      <c r="C123" s="31"/>
      <c r="D123" s="31"/>
      <c r="E123" s="30"/>
      <c r="F123" s="31"/>
      <c r="G123" s="31"/>
      <c r="H123" s="30"/>
      <c r="I123" s="31" t="str">
        <f>IF(F123="","",IF(F123="Tecnicatura en composición coreográfica en ddv fusión","Jime",CONCATENATE(VLOOKUP(G123,OPCIONES!D:E,2,0),VLOOKUP(H123,OPCIONES!$G$2:$H$8,2,0))))</f>
        <v/>
      </c>
      <c r="J123" s="49">
        <f t="shared" si="2"/>
        <v>15000</v>
      </c>
      <c r="K123" s="49" t="s">
        <v>91</v>
      </c>
      <c r="L123" s="49" t="s">
        <v>176</v>
      </c>
      <c r="M123" s="49" t="s">
        <v>254</v>
      </c>
      <c r="N123" s="49" t="s">
        <v>254</v>
      </c>
    </row>
    <row r="124" spans="1:14" ht="27.9" customHeight="1" x14ac:dyDescent="0.3">
      <c r="A124" s="31"/>
      <c r="B124" s="30"/>
      <c r="C124" s="31"/>
      <c r="D124" s="31"/>
      <c r="E124" s="30"/>
      <c r="F124" s="31"/>
      <c r="G124" s="31"/>
      <c r="H124" s="30"/>
      <c r="I124" s="31" t="str">
        <f>IF(F124="","",IF(F124="Tecnicatura en composición coreográfica en ddv fusión","Jime",CONCATENATE(VLOOKUP(G124,OPCIONES!D:E,2,0),VLOOKUP(H124,OPCIONES!$G$2:$H$8,2,0))))</f>
        <v/>
      </c>
      <c r="J124" s="49">
        <f t="shared" si="2"/>
        <v>15000</v>
      </c>
      <c r="K124" s="49" t="s">
        <v>91</v>
      </c>
      <c r="L124" s="49" t="s">
        <v>176</v>
      </c>
      <c r="M124" s="49" t="s">
        <v>254</v>
      </c>
      <c r="N124" s="49" t="s">
        <v>254</v>
      </c>
    </row>
    <row r="125" spans="1:14" ht="27.9" customHeight="1" x14ac:dyDescent="0.3">
      <c r="A125" s="31"/>
      <c r="B125" s="30"/>
      <c r="C125" s="31"/>
      <c r="D125" s="31"/>
      <c r="E125" s="30"/>
      <c r="F125" s="31"/>
      <c r="G125" s="31"/>
      <c r="H125" s="30"/>
      <c r="I125" s="31" t="str">
        <f>IF(F125="","",IF(F125="Tecnicatura en composición coreográfica en ddv fusión","Jime",CONCATENATE(VLOOKUP(G125,OPCIONES!D:E,2,0),VLOOKUP(H125,OPCIONES!$G$2:$H$8,2,0))))</f>
        <v/>
      </c>
      <c r="J125" s="49">
        <f t="shared" si="2"/>
        <v>15000</v>
      </c>
      <c r="K125" s="49" t="s">
        <v>91</v>
      </c>
      <c r="L125" s="49" t="s">
        <v>176</v>
      </c>
      <c r="M125" s="49" t="s">
        <v>254</v>
      </c>
      <c r="N125" s="49" t="s">
        <v>254</v>
      </c>
    </row>
    <row r="126" spans="1:14" ht="27.9" customHeight="1" x14ac:dyDescent="0.3">
      <c r="A126" s="31"/>
      <c r="B126" s="30"/>
      <c r="C126" s="31"/>
      <c r="D126" s="31"/>
      <c r="E126" s="30"/>
      <c r="F126" s="31"/>
      <c r="G126" s="31"/>
      <c r="H126" s="30"/>
      <c r="I126" s="31" t="str">
        <f>IF(F126="","",IF(F126="Tecnicatura en composición coreográfica en ddv fusión","Jime",CONCATENATE(VLOOKUP(G126,OPCIONES!D:E,2,0),VLOOKUP(H126,OPCIONES!$G$2:$H$8,2,0))))</f>
        <v/>
      </c>
      <c r="J126" s="49">
        <f t="shared" si="2"/>
        <v>15000</v>
      </c>
      <c r="K126" s="49" t="s">
        <v>91</v>
      </c>
      <c r="L126" s="49" t="s">
        <v>176</v>
      </c>
      <c r="M126" s="49" t="s">
        <v>254</v>
      </c>
      <c r="N126" s="49" t="s">
        <v>254</v>
      </c>
    </row>
    <row r="127" spans="1:14" ht="27.9" customHeight="1" x14ac:dyDescent="0.3">
      <c r="A127" s="31"/>
      <c r="B127" s="30"/>
      <c r="C127" s="31"/>
      <c r="D127" s="31"/>
      <c r="E127" s="30"/>
      <c r="F127" s="31"/>
      <c r="G127" s="31"/>
      <c r="H127" s="30"/>
      <c r="I127" s="31" t="str">
        <f>IF(F127="","",IF(F127="Tecnicatura en composición coreográfica en ddv fusión","Jime",CONCATENATE(VLOOKUP(G127,OPCIONES!D:E,2,0),VLOOKUP(H127,OPCIONES!$G$2:$H$8,2,0))))</f>
        <v/>
      </c>
      <c r="J127" s="49">
        <f t="shared" si="2"/>
        <v>15000</v>
      </c>
      <c r="K127" s="49" t="s">
        <v>91</v>
      </c>
      <c r="L127" s="49" t="s">
        <v>176</v>
      </c>
      <c r="M127" s="49" t="s">
        <v>254</v>
      </c>
      <c r="N127" s="49" t="s">
        <v>254</v>
      </c>
    </row>
    <row r="128" spans="1:14" ht="27.9" customHeight="1" x14ac:dyDescent="0.3">
      <c r="A128" s="31"/>
      <c r="B128" s="30"/>
      <c r="C128" s="31"/>
      <c r="D128" s="31"/>
      <c r="E128" s="30"/>
      <c r="F128" s="31"/>
      <c r="G128" s="31"/>
      <c r="H128" s="30"/>
      <c r="I128" s="31" t="str">
        <f>IF(F128="","",IF(F128="Tecnicatura en composición coreográfica en ddv fusión","Jime",CONCATENATE(VLOOKUP(G128,OPCIONES!D:E,2,0),VLOOKUP(H128,OPCIONES!$G$2:$H$8,2,0))))</f>
        <v/>
      </c>
      <c r="J128" s="49">
        <f t="shared" si="2"/>
        <v>15000</v>
      </c>
      <c r="K128" s="49" t="s">
        <v>91</v>
      </c>
      <c r="L128" s="49" t="s">
        <v>176</v>
      </c>
      <c r="M128" s="49" t="s">
        <v>254</v>
      </c>
      <c r="N128" s="49" t="s">
        <v>254</v>
      </c>
    </row>
    <row r="129" spans="1:14" ht="27.9" customHeight="1" x14ac:dyDescent="0.3">
      <c r="A129" s="31"/>
      <c r="B129" s="30"/>
      <c r="C129" s="31"/>
      <c r="D129" s="31"/>
      <c r="E129" s="30"/>
      <c r="F129" s="31"/>
      <c r="G129" s="31"/>
      <c r="H129" s="30"/>
      <c r="I129" s="31" t="str">
        <f>IF(F129="","",IF(F129="Tecnicatura en composición coreográfica en ddv fusión","Jime",CONCATENATE(VLOOKUP(G129,OPCIONES!D:E,2,0),VLOOKUP(H129,OPCIONES!$G$2:$H$8,2,0))))</f>
        <v/>
      </c>
      <c r="J129" s="49">
        <f t="shared" si="2"/>
        <v>15000</v>
      </c>
      <c r="K129" s="49" t="s">
        <v>91</v>
      </c>
      <c r="L129" s="49" t="s">
        <v>176</v>
      </c>
      <c r="M129" s="49" t="s">
        <v>254</v>
      </c>
      <c r="N129" s="49" t="s">
        <v>254</v>
      </c>
    </row>
    <row r="130" spans="1:14" ht="27.9" customHeight="1" x14ac:dyDescent="0.3">
      <c r="A130" s="31"/>
      <c r="B130" s="30"/>
      <c r="C130" s="31"/>
      <c r="D130" s="31"/>
      <c r="E130" s="30"/>
      <c r="F130" s="31"/>
      <c r="G130" s="31"/>
      <c r="H130" s="30"/>
      <c r="I130" s="31" t="str">
        <f>IF(F130="","",IF(F130="Tecnicatura en composición coreográfica en ddv fusión","Jime",CONCATENATE(VLOOKUP(G130,OPCIONES!D:E,2,0),VLOOKUP(H130,OPCIONES!$G$2:$H$8,2,0))))</f>
        <v/>
      </c>
      <c r="J130" s="49">
        <f t="shared" si="2"/>
        <v>15000</v>
      </c>
      <c r="K130" s="49" t="s">
        <v>91</v>
      </c>
      <c r="L130" s="49" t="s">
        <v>176</v>
      </c>
      <c r="M130" s="49" t="s">
        <v>254</v>
      </c>
      <c r="N130" s="49" t="s">
        <v>254</v>
      </c>
    </row>
    <row r="131" spans="1:14" ht="27.9" customHeight="1" x14ac:dyDescent="0.3">
      <c r="A131" s="31"/>
      <c r="B131" s="30"/>
      <c r="C131" s="31"/>
      <c r="D131" s="31"/>
      <c r="E131" s="30"/>
      <c r="F131" s="31"/>
      <c r="G131" s="31"/>
      <c r="H131" s="30"/>
      <c r="I131" s="31" t="str">
        <f>IF(F131="","",IF(F131="Tecnicatura en composición coreográfica en ddv fusión","Jime",CONCATENATE(VLOOKUP(G131,OPCIONES!D:E,2,0),VLOOKUP(H131,OPCIONES!$G$2:$H$8,2,0))))</f>
        <v/>
      </c>
      <c r="J131" s="49">
        <f t="shared" si="2"/>
        <v>15000</v>
      </c>
      <c r="K131" s="49" t="s">
        <v>91</v>
      </c>
      <c r="L131" s="49" t="s">
        <v>176</v>
      </c>
      <c r="M131" s="49" t="s">
        <v>254</v>
      </c>
      <c r="N131" s="49" t="s">
        <v>254</v>
      </c>
    </row>
    <row r="132" spans="1:14" ht="27.9" customHeight="1" x14ac:dyDescent="0.3">
      <c r="A132" s="31"/>
      <c r="B132" s="30"/>
      <c r="C132" s="31"/>
      <c r="D132" s="31"/>
      <c r="E132" s="30"/>
      <c r="F132" s="31"/>
      <c r="G132" s="31"/>
      <c r="H132" s="30"/>
      <c r="I132" s="31" t="str">
        <f>IF(F132="","",IF(F132="Tecnicatura en composición coreográfica en ddv fusión","Jime",CONCATENATE(VLOOKUP(G132,OPCIONES!D:E,2,0),VLOOKUP(H132,OPCIONES!$G$2:$H$8,2,0))))</f>
        <v/>
      </c>
      <c r="J132" s="49">
        <f t="shared" si="2"/>
        <v>15000</v>
      </c>
      <c r="K132" s="49" t="s">
        <v>91</v>
      </c>
      <c r="L132" s="49" t="s">
        <v>176</v>
      </c>
      <c r="M132" s="49" t="s">
        <v>254</v>
      </c>
      <c r="N132" s="49" t="s">
        <v>254</v>
      </c>
    </row>
    <row r="133" spans="1:14" ht="27.9" customHeight="1" x14ac:dyDescent="0.3">
      <c r="A133" s="31"/>
      <c r="B133" s="30"/>
      <c r="C133" s="31"/>
      <c r="D133" s="31"/>
      <c r="E133" s="30"/>
      <c r="F133" s="31"/>
      <c r="G133" s="31"/>
      <c r="H133" s="30"/>
      <c r="I133" s="31" t="str">
        <f>IF(F133="","",IF(F133="Tecnicatura en composición coreográfica en ddv fusión","Jime",CONCATENATE(VLOOKUP(G133,OPCIONES!D:E,2,0),VLOOKUP(H133,OPCIONES!$G$2:$H$8,2,0))))</f>
        <v/>
      </c>
      <c r="J133" s="49">
        <f t="shared" si="2"/>
        <v>15000</v>
      </c>
      <c r="K133" s="49" t="s">
        <v>91</v>
      </c>
      <c r="L133" s="49" t="s">
        <v>176</v>
      </c>
      <c r="M133" s="49" t="s">
        <v>254</v>
      </c>
      <c r="N133" s="49" t="s">
        <v>254</v>
      </c>
    </row>
    <row r="134" spans="1:14" ht="27.9" customHeight="1" x14ac:dyDescent="0.3">
      <c r="A134" s="31"/>
      <c r="B134" s="30"/>
      <c r="C134" s="31"/>
      <c r="D134" s="31"/>
      <c r="E134" s="30"/>
      <c r="F134" s="31"/>
      <c r="G134" s="31"/>
      <c r="H134" s="30"/>
      <c r="I134" s="31" t="str">
        <f>IF(F134="","",IF(F134="Tecnicatura en composición coreográfica en ddv fusión","Jime",CONCATENATE(VLOOKUP(G134,OPCIONES!D:E,2,0),VLOOKUP(H134,OPCIONES!$G$2:$H$8,2,0))))</f>
        <v/>
      </c>
      <c r="J134" s="49">
        <f t="shared" ref="J134:J197" si="3">$I$1</f>
        <v>15000</v>
      </c>
      <c r="K134" s="49" t="s">
        <v>91</v>
      </c>
      <c r="L134" s="49" t="s">
        <v>176</v>
      </c>
      <c r="M134" s="49" t="s">
        <v>254</v>
      </c>
      <c r="N134" s="49" t="s">
        <v>254</v>
      </c>
    </row>
    <row r="135" spans="1:14" ht="27.9" customHeight="1" x14ac:dyDescent="0.3">
      <c r="A135" s="31"/>
      <c r="B135" s="30"/>
      <c r="C135" s="31"/>
      <c r="D135" s="31"/>
      <c r="E135" s="30"/>
      <c r="F135" s="31"/>
      <c r="G135" s="31"/>
      <c r="H135" s="30"/>
      <c r="I135" s="31" t="str">
        <f>IF(F135="","",IF(F135="Tecnicatura en composición coreográfica en ddv fusión","Jime",CONCATENATE(VLOOKUP(G135,OPCIONES!D:E,2,0),VLOOKUP(H135,OPCIONES!$G$2:$H$8,2,0))))</f>
        <v/>
      </c>
      <c r="J135" s="49">
        <f t="shared" si="3"/>
        <v>15000</v>
      </c>
      <c r="K135" s="49" t="s">
        <v>91</v>
      </c>
      <c r="L135" s="49" t="s">
        <v>176</v>
      </c>
      <c r="M135" s="49" t="s">
        <v>254</v>
      </c>
      <c r="N135" s="49" t="s">
        <v>254</v>
      </c>
    </row>
    <row r="136" spans="1:14" ht="27.9" customHeight="1" x14ac:dyDescent="0.3">
      <c r="A136" s="31"/>
      <c r="B136" s="30"/>
      <c r="C136" s="31"/>
      <c r="D136" s="31"/>
      <c r="E136" s="30"/>
      <c r="F136" s="31"/>
      <c r="G136" s="31"/>
      <c r="H136" s="30"/>
      <c r="I136" s="31" t="str">
        <f>IF(F136="","",IF(F136="Tecnicatura en composición coreográfica en ddv fusión","Jime",CONCATENATE(VLOOKUP(G136,OPCIONES!D:E,2,0),VLOOKUP(H136,OPCIONES!$G$2:$H$8,2,0))))</f>
        <v/>
      </c>
      <c r="J136" s="49">
        <f t="shared" si="3"/>
        <v>15000</v>
      </c>
      <c r="K136" s="49" t="s">
        <v>91</v>
      </c>
      <c r="L136" s="49" t="s">
        <v>176</v>
      </c>
      <c r="M136" s="49" t="s">
        <v>254</v>
      </c>
      <c r="N136" s="49" t="s">
        <v>254</v>
      </c>
    </row>
    <row r="137" spans="1:14" ht="27.9" customHeight="1" x14ac:dyDescent="0.3">
      <c r="A137" s="31"/>
      <c r="B137" s="30"/>
      <c r="C137" s="31"/>
      <c r="D137" s="31"/>
      <c r="E137" s="30"/>
      <c r="F137" s="31"/>
      <c r="G137" s="31"/>
      <c r="H137" s="30"/>
      <c r="I137" s="31" t="str">
        <f>IF(F137="","",IF(F137="Tecnicatura en composición coreográfica en ddv fusión","Jime",CONCATENATE(VLOOKUP(G137,OPCIONES!D:E,2,0),VLOOKUP(H137,OPCIONES!$G$2:$H$8,2,0))))</f>
        <v/>
      </c>
      <c r="J137" s="49">
        <f t="shared" si="3"/>
        <v>15000</v>
      </c>
      <c r="K137" s="49" t="s">
        <v>91</v>
      </c>
      <c r="L137" s="49" t="s">
        <v>176</v>
      </c>
      <c r="M137" s="49" t="s">
        <v>254</v>
      </c>
      <c r="N137" s="49" t="s">
        <v>254</v>
      </c>
    </row>
    <row r="138" spans="1:14" ht="27.9" customHeight="1" x14ac:dyDescent="0.3">
      <c r="A138" s="31"/>
      <c r="B138" s="30"/>
      <c r="C138" s="31"/>
      <c r="D138" s="31"/>
      <c r="E138" s="30"/>
      <c r="F138" s="31"/>
      <c r="G138" s="31"/>
      <c r="H138" s="30"/>
      <c r="I138" s="31" t="str">
        <f>IF(F138="","",IF(F138="Tecnicatura en composición coreográfica en ddv fusión","Jime",CONCATENATE(VLOOKUP(G138,OPCIONES!D:E,2,0),VLOOKUP(H138,OPCIONES!$G$2:$H$8,2,0))))</f>
        <v/>
      </c>
      <c r="J138" s="49">
        <f t="shared" si="3"/>
        <v>15000</v>
      </c>
      <c r="K138" s="49" t="s">
        <v>91</v>
      </c>
      <c r="L138" s="49" t="s">
        <v>176</v>
      </c>
      <c r="M138" s="49" t="s">
        <v>254</v>
      </c>
      <c r="N138" s="49" t="s">
        <v>254</v>
      </c>
    </row>
    <row r="139" spans="1:14" ht="27.9" customHeight="1" x14ac:dyDescent="0.3">
      <c r="A139" s="31"/>
      <c r="B139" s="30"/>
      <c r="C139" s="31"/>
      <c r="D139" s="31"/>
      <c r="E139" s="30"/>
      <c r="F139" s="31"/>
      <c r="G139" s="31"/>
      <c r="H139" s="30"/>
      <c r="I139" s="31" t="str">
        <f>IF(F139="","",IF(F139="Tecnicatura en composición coreográfica en ddv fusión","Jime",CONCATENATE(VLOOKUP(G139,OPCIONES!D:E,2,0),VLOOKUP(H139,OPCIONES!$G$2:$H$8,2,0))))</f>
        <v/>
      </c>
      <c r="J139" s="49">
        <f t="shared" si="3"/>
        <v>15000</v>
      </c>
      <c r="K139" s="49" t="s">
        <v>91</v>
      </c>
      <c r="L139" s="49" t="s">
        <v>176</v>
      </c>
      <c r="M139" s="49" t="s">
        <v>254</v>
      </c>
      <c r="N139" s="49" t="s">
        <v>254</v>
      </c>
    </row>
    <row r="140" spans="1:14" ht="27.9" customHeight="1" x14ac:dyDescent="0.3">
      <c r="A140" s="31"/>
      <c r="B140" s="30"/>
      <c r="C140" s="31"/>
      <c r="D140" s="31"/>
      <c r="E140" s="30"/>
      <c r="F140" s="31"/>
      <c r="G140" s="31"/>
      <c r="H140" s="30"/>
      <c r="I140" s="31" t="str">
        <f>IF(F140="","",IF(F140="Tecnicatura en composición coreográfica en ddv fusión","Jime",CONCATENATE(VLOOKUP(G140,OPCIONES!D:E,2,0),VLOOKUP(H140,OPCIONES!$G$2:$H$8,2,0))))</f>
        <v/>
      </c>
      <c r="J140" s="49">
        <f t="shared" si="3"/>
        <v>15000</v>
      </c>
      <c r="K140" s="49" t="s">
        <v>91</v>
      </c>
      <c r="L140" s="49" t="s">
        <v>176</v>
      </c>
      <c r="M140" s="49" t="s">
        <v>254</v>
      </c>
      <c r="N140" s="49" t="s">
        <v>254</v>
      </c>
    </row>
    <row r="141" spans="1:14" ht="27.9" customHeight="1" x14ac:dyDescent="0.3">
      <c r="A141" s="31"/>
      <c r="B141" s="30"/>
      <c r="C141" s="31"/>
      <c r="D141" s="31"/>
      <c r="E141" s="30"/>
      <c r="F141" s="31"/>
      <c r="G141" s="31"/>
      <c r="H141" s="30"/>
      <c r="I141" s="31" t="str">
        <f>IF(F141="","",IF(F141="Tecnicatura en composición coreográfica en ddv fusión","Jime",CONCATENATE(VLOOKUP(G141,OPCIONES!D:E,2,0),VLOOKUP(H141,OPCIONES!$G$2:$H$8,2,0))))</f>
        <v/>
      </c>
      <c r="J141" s="49">
        <f t="shared" si="3"/>
        <v>15000</v>
      </c>
      <c r="K141" s="49" t="s">
        <v>91</v>
      </c>
      <c r="L141" s="49" t="s">
        <v>176</v>
      </c>
      <c r="M141" s="49" t="s">
        <v>254</v>
      </c>
      <c r="N141" s="49" t="s">
        <v>254</v>
      </c>
    </row>
    <row r="142" spans="1:14" ht="27.9" customHeight="1" x14ac:dyDescent="0.3">
      <c r="A142" s="31"/>
      <c r="B142" s="30"/>
      <c r="C142" s="31"/>
      <c r="D142" s="31"/>
      <c r="E142" s="30"/>
      <c r="F142" s="31"/>
      <c r="G142" s="31"/>
      <c r="H142" s="30"/>
      <c r="I142" s="31" t="str">
        <f>IF(F142="","",IF(F142="Tecnicatura en composición coreográfica en ddv fusión","Jime",CONCATENATE(VLOOKUP(G142,OPCIONES!D:E,2,0),VLOOKUP(H142,OPCIONES!$G$2:$H$8,2,0))))</f>
        <v/>
      </c>
      <c r="J142" s="49">
        <f t="shared" si="3"/>
        <v>15000</v>
      </c>
      <c r="K142" s="49" t="s">
        <v>91</v>
      </c>
      <c r="L142" s="49" t="s">
        <v>176</v>
      </c>
      <c r="M142" s="49" t="s">
        <v>254</v>
      </c>
      <c r="N142" s="49" t="s">
        <v>254</v>
      </c>
    </row>
    <row r="143" spans="1:14" ht="27.9" customHeight="1" x14ac:dyDescent="0.3">
      <c r="A143" s="31"/>
      <c r="B143" s="30"/>
      <c r="C143" s="31"/>
      <c r="D143" s="31"/>
      <c r="E143" s="30"/>
      <c r="F143" s="31"/>
      <c r="G143" s="31"/>
      <c r="H143" s="30"/>
      <c r="I143" s="31" t="str">
        <f>IF(F143="","",IF(F143="Tecnicatura en composición coreográfica en ddv fusión","Jime",CONCATENATE(VLOOKUP(G143,OPCIONES!D:E,2,0),VLOOKUP(H143,OPCIONES!$G$2:$H$8,2,0))))</f>
        <v/>
      </c>
      <c r="J143" s="49">
        <f t="shared" si="3"/>
        <v>15000</v>
      </c>
      <c r="K143" s="49" t="s">
        <v>91</v>
      </c>
      <c r="L143" s="49" t="s">
        <v>176</v>
      </c>
      <c r="M143" s="49" t="s">
        <v>254</v>
      </c>
      <c r="N143" s="49" t="s">
        <v>254</v>
      </c>
    </row>
    <row r="144" spans="1:14" ht="27.9" customHeight="1" x14ac:dyDescent="0.3">
      <c r="A144" s="31"/>
      <c r="B144" s="30"/>
      <c r="C144" s="31"/>
      <c r="D144" s="31"/>
      <c r="E144" s="30"/>
      <c r="F144" s="31"/>
      <c r="G144" s="31"/>
      <c r="H144" s="30"/>
      <c r="I144" s="31" t="str">
        <f>IF(F144="","",IF(F144="Tecnicatura en composición coreográfica en ddv fusión","Jime",CONCATENATE(VLOOKUP(G144,OPCIONES!D:E,2,0),VLOOKUP(H144,OPCIONES!$G$2:$H$8,2,0))))</f>
        <v/>
      </c>
      <c r="J144" s="49">
        <f t="shared" si="3"/>
        <v>15000</v>
      </c>
      <c r="K144" s="49" t="s">
        <v>91</v>
      </c>
      <c r="L144" s="49" t="s">
        <v>176</v>
      </c>
      <c r="N144" s="49" t="s">
        <v>254</v>
      </c>
    </row>
    <row r="145" spans="1:14" ht="27.9" customHeight="1" x14ac:dyDescent="0.3">
      <c r="A145" s="31"/>
      <c r="B145" s="30"/>
      <c r="C145" s="31"/>
      <c r="D145" s="31"/>
      <c r="E145" s="30"/>
      <c r="F145" s="31"/>
      <c r="G145" s="31"/>
      <c r="H145" s="30"/>
      <c r="I145" s="31" t="str">
        <f>IF(F145="","",IF(F145="Tecnicatura en composición coreográfica en ddv fusión","Jime",CONCATENATE(VLOOKUP(G145,OPCIONES!D:E,2,0),VLOOKUP(H145,OPCIONES!$G$2:$H$8,2,0))))</f>
        <v/>
      </c>
      <c r="J145" s="49">
        <f t="shared" si="3"/>
        <v>15000</v>
      </c>
      <c r="K145" s="49" t="s">
        <v>91</v>
      </c>
      <c r="L145" s="49" t="s">
        <v>176</v>
      </c>
      <c r="N145" s="49" t="s">
        <v>254</v>
      </c>
    </row>
    <row r="146" spans="1:14" ht="27.9" customHeight="1" x14ac:dyDescent="0.3">
      <c r="A146" s="31"/>
      <c r="B146" s="30"/>
      <c r="C146" s="31"/>
      <c r="D146" s="31"/>
      <c r="E146" s="30"/>
      <c r="F146" s="31"/>
      <c r="G146" s="31"/>
      <c r="H146" s="30"/>
      <c r="I146" s="31" t="str">
        <f>IF(F146="","",IF(F146="Tecnicatura en composición coreográfica en ddv fusión","Jime",CONCATENATE(VLOOKUP(G146,OPCIONES!D:E,2,0),VLOOKUP(H146,OPCIONES!$G$2:$H$8,2,0))))</f>
        <v/>
      </c>
      <c r="J146" s="49">
        <f t="shared" si="3"/>
        <v>15000</v>
      </c>
      <c r="K146" s="49" t="s">
        <v>91</v>
      </c>
      <c r="L146" s="49" t="s">
        <v>176</v>
      </c>
      <c r="N146" s="49" t="s">
        <v>254</v>
      </c>
    </row>
    <row r="147" spans="1:14" ht="27.9" customHeight="1" x14ac:dyDescent="0.3">
      <c r="A147" s="31"/>
      <c r="B147" s="30"/>
      <c r="C147" s="31"/>
      <c r="D147" s="31"/>
      <c r="E147" s="30"/>
      <c r="F147" s="31"/>
      <c r="G147" s="31"/>
      <c r="H147" s="30"/>
      <c r="I147" s="31" t="str">
        <f>IF(F147="","",IF(F147="Tecnicatura en composición coreográfica en ddv fusión","Jime",CONCATENATE(VLOOKUP(G147,OPCIONES!D:E,2,0),VLOOKUP(H147,OPCIONES!$G$2:$H$8,2,0))))</f>
        <v/>
      </c>
      <c r="J147" s="49">
        <f t="shared" si="3"/>
        <v>15000</v>
      </c>
      <c r="K147" s="49" t="s">
        <v>91</v>
      </c>
      <c r="L147" s="49" t="s">
        <v>176</v>
      </c>
      <c r="N147" s="49" t="s">
        <v>254</v>
      </c>
    </row>
    <row r="148" spans="1:14" ht="27.9" customHeight="1" x14ac:dyDescent="0.3">
      <c r="A148" s="31"/>
      <c r="B148" s="30"/>
      <c r="C148" s="31"/>
      <c r="D148" s="31"/>
      <c r="E148" s="30"/>
      <c r="F148" s="31"/>
      <c r="G148" s="31"/>
      <c r="H148" s="30"/>
      <c r="I148" s="31" t="str">
        <f>IF(F148="","",IF(F148="Tecnicatura en composición coreográfica en ddv fusión","Jime",CONCATENATE(VLOOKUP(G148,OPCIONES!D:E,2,0),VLOOKUP(H148,OPCIONES!$G$2:$H$8,2,0))))</f>
        <v/>
      </c>
      <c r="J148" s="49">
        <f t="shared" si="3"/>
        <v>15000</v>
      </c>
      <c r="K148" s="49" t="s">
        <v>91</v>
      </c>
      <c r="L148" s="49" t="s">
        <v>176</v>
      </c>
      <c r="N148" s="49" t="s">
        <v>254</v>
      </c>
    </row>
    <row r="149" spans="1:14" ht="27.9" customHeight="1" x14ac:dyDescent="0.3">
      <c r="A149" s="31"/>
      <c r="B149" s="30"/>
      <c r="C149" s="31"/>
      <c r="D149" s="31"/>
      <c r="E149" s="30"/>
      <c r="F149" s="31"/>
      <c r="G149" s="31"/>
      <c r="H149" s="30"/>
      <c r="I149" s="31" t="str">
        <f>IF(F149="","",IF(F149="Tecnicatura en composición coreográfica en ddv fusión","Jime",CONCATENATE(VLOOKUP(G149,OPCIONES!D:E,2,0),VLOOKUP(H149,OPCIONES!$G$2:$H$8,2,0))))</f>
        <v/>
      </c>
      <c r="J149" s="49">
        <f t="shared" si="3"/>
        <v>15000</v>
      </c>
      <c r="K149" s="49" t="s">
        <v>91</v>
      </c>
      <c r="L149" s="49" t="s">
        <v>176</v>
      </c>
      <c r="N149" s="49" t="s">
        <v>254</v>
      </c>
    </row>
    <row r="150" spans="1:14" ht="27.9" customHeight="1" x14ac:dyDescent="0.3">
      <c r="A150" s="31"/>
      <c r="B150" s="30"/>
      <c r="C150" s="31"/>
      <c r="D150" s="31"/>
      <c r="E150" s="30"/>
      <c r="F150" s="31"/>
      <c r="G150" s="31"/>
      <c r="H150" s="30"/>
      <c r="I150" s="31" t="str">
        <f>IF(F150="","",IF(F150="Tecnicatura en composición coreográfica en ddv fusión","Jime",CONCATENATE(VLOOKUP(G150,OPCIONES!D:E,2,0),VLOOKUP(H150,OPCIONES!$G$2:$H$8,2,0))))</f>
        <v/>
      </c>
      <c r="J150" s="49">
        <f t="shared" si="3"/>
        <v>15000</v>
      </c>
      <c r="K150" s="49" t="s">
        <v>91</v>
      </c>
      <c r="L150" s="49" t="s">
        <v>176</v>
      </c>
      <c r="N150" s="49" t="s">
        <v>254</v>
      </c>
    </row>
    <row r="151" spans="1:14" ht="27.9" customHeight="1" x14ac:dyDescent="0.3">
      <c r="A151" s="31"/>
      <c r="B151" s="30"/>
      <c r="C151" s="31"/>
      <c r="D151" s="31"/>
      <c r="E151" s="30"/>
      <c r="F151" s="31"/>
      <c r="G151" s="31"/>
      <c r="H151" s="30"/>
      <c r="I151" s="31" t="str">
        <f>IF(F151="","",IF(F151="Tecnicatura en composición coreográfica en ddv fusión","Jime",CONCATENATE(VLOOKUP(G151,OPCIONES!D:E,2,0),VLOOKUP(H151,OPCIONES!$G$2:$H$8,2,0))))</f>
        <v/>
      </c>
      <c r="J151" s="49">
        <f t="shared" si="3"/>
        <v>15000</v>
      </c>
      <c r="K151" s="49" t="s">
        <v>91</v>
      </c>
      <c r="L151" s="49" t="s">
        <v>176</v>
      </c>
      <c r="N151" s="49" t="s">
        <v>254</v>
      </c>
    </row>
    <row r="152" spans="1:14" ht="27.9" customHeight="1" x14ac:dyDescent="0.3">
      <c r="A152" s="31"/>
      <c r="B152" s="30"/>
      <c r="C152" s="31"/>
      <c r="D152" s="31"/>
      <c r="E152" s="30"/>
      <c r="F152" s="31"/>
      <c r="G152" s="31"/>
      <c r="H152" s="30"/>
      <c r="I152" s="31" t="str">
        <f>IF(F152="","",IF(F152="Tecnicatura en composición coreográfica en ddv fusión","Jime",CONCATENATE(VLOOKUP(G152,OPCIONES!D:E,2,0),VLOOKUP(H152,OPCIONES!$G$2:$H$8,2,0))))</f>
        <v/>
      </c>
      <c r="J152" s="49">
        <f t="shared" si="3"/>
        <v>15000</v>
      </c>
      <c r="K152" s="49" t="s">
        <v>91</v>
      </c>
      <c r="L152" s="49" t="s">
        <v>176</v>
      </c>
      <c r="N152" s="49" t="s">
        <v>254</v>
      </c>
    </row>
    <row r="153" spans="1:14" ht="27.9" customHeight="1" x14ac:dyDescent="0.3">
      <c r="A153" s="31"/>
      <c r="B153" s="30"/>
      <c r="C153" s="31"/>
      <c r="D153" s="31"/>
      <c r="E153" s="30"/>
      <c r="F153" s="31"/>
      <c r="G153" s="31"/>
      <c r="H153" s="30"/>
      <c r="I153" s="31" t="str">
        <f>IF(F153="","",IF(F153="Tecnicatura en composición coreográfica en ddv fusión","Jime",CONCATENATE(VLOOKUP(G153,OPCIONES!D:E,2,0),VLOOKUP(H153,OPCIONES!$G$2:$H$8,2,0))))</f>
        <v/>
      </c>
      <c r="J153" s="49">
        <f t="shared" si="3"/>
        <v>15000</v>
      </c>
      <c r="K153" s="49" t="s">
        <v>91</v>
      </c>
      <c r="L153" s="49" t="s">
        <v>176</v>
      </c>
      <c r="N153" s="49" t="s">
        <v>254</v>
      </c>
    </row>
    <row r="154" spans="1:14" ht="27.9" customHeight="1" x14ac:dyDescent="0.3">
      <c r="A154" s="31"/>
      <c r="B154" s="30"/>
      <c r="C154" s="31"/>
      <c r="D154" s="31"/>
      <c r="E154" s="30"/>
      <c r="F154" s="31"/>
      <c r="G154" s="31"/>
      <c r="H154" s="30"/>
      <c r="I154" s="31" t="str">
        <f>IF(F154="","",IF(F154="Tecnicatura en composición coreográfica en ddv fusión","Jime",CONCATENATE(VLOOKUP(G154,OPCIONES!D:E,2,0),VLOOKUP(H154,OPCIONES!$G$2:$H$8,2,0))))</f>
        <v/>
      </c>
      <c r="J154" s="49">
        <f t="shared" si="3"/>
        <v>15000</v>
      </c>
      <c r="K154" s="49" t="s">
        <v>91</v>
      </c>
      <c r="L154" s="49" t="s">
        <v>176</v>
      </c>
      <c r="N154" s="49" t="s">
        <v>254</v>
      </c>
    </row>
    <row r="155" spans="1:14" ht="27.9" customHeight="1" x14ac:dyDescent="0.3">
      <c r="A155" s="31"/>
      <c r="B155" s="30"/>
      <c r="C155" s="31"/>
      <c r="D155" s="31"/>
      <c r="E155" s="30"/>
      <c r="F155" s="31"/>
      <c r="G155" s="31"/>
      <c r="H155" s="30"/>
      <c r="I155" s="31" t="str">
        <f>IF(F155="","",IF(F155="Tecnicatura en composición coreográfica en ddv fusión","Jime",CONCATENATE(VLOOKUP(G155,OPCIONES!D:E,2,0),VLOOKUP(H155,OPCIONES!$G$2:$H$8,2,0))))</f>
        <v/>
      </c>
      <c r="J155" s="49">
        <f t="shared" si="3"/>
        <v>15000</v>
      </c>
      <c r="K155" s="49" t="s">
        <v>91</v>
      </c>
      <c r="L155" s="49" t="s">
        <v>176</v>
      </c>
      <c r="N155" s="49" t="s">
        <v>254</v>
      </c>
    </row>
    <row r="156" spans="1:14" ht="27.9" customHeight="1" x14ac:dyDescent="0.3">
      <c r="A156" s="31"/>
      <c r="B156" s="30"/>
      <c r="C156" s="31"/>
      <c r="D156" s="31"/>
      <c r="E156" s="30"/>
      <c r="F156" s="31"/>
      <c r="G156" s="31"/>
      <c r="H156" s="30"/>
      <c r="I156" s="31" t="str">
        <f>IF(F156="","",IF(F156="Tecnicatura en composición coreográfica en ddv fusión","Jime",CONCATENATE(VLOOKUP(G156,OPCIONES!D:E,2,0),VLOOKUP(H156,OPCIONES!$G$2:$H$8,2,0))))</f>
        <v/>
      </c>
      <c r="J156" s="49">
        <f t="shared" si="3"/>
        <v>15000</v>
      </c>
      <c r="K156" s="49" t="s">
        <v>91</v>
      </c>
      <c r="L156" s="49" t="s">
        <v>176</v>
      </c>
      <c r="N156" s="49" t="s">
        <v>254</v>
      </c>
    </row>
    <row r="157" spans="1:14" ht="27.9" customHeight="1" x14ac:dyDescent="0.3">
      <c r="A157" s="31"/>
      <c r="B157" s="30"/>
      <c r="C157" s="31"/>
      <c r="D157" s="31"/>
      <c r="E157" s="30"/>
      <c r="F157" s="31"/>
      <c r="G157" s="31"/>
      <c r="H157" s="30"/>
      <c r="I157" s="31" t="str">
        <f>IF(F157="","",IF(F157="Tecnicatura en composición coreográfica en ddv fusión","Jime",CONCATENATE(VLOOKUP(G157,OPCIONES!D:E,2,0),VLOOKUP(H157,OPCIONES!$G$2:$H$8,2,0))))</f>
        <v/>
      </c>
      <c r="J157" s="49">
        <f t="shared" si="3"/>
        <v>15000</v>
      </c>
      <c r="K157" s="49" t="s">
        <v>91</v>
      </c>
      <c r="L157" s="49" t="s">
        <v>176</v>
      </c>
      <c r="N157" s="49" t="s">
        <v>254</v>
      </c>
    </row>
    <row r="158" spans="1:14" ht="27.9" customHeight="1" x14ac:dyDescent="0.3">
      <c r="A158" s="31"/>
      <c r="B158" s="30"/>
      <c r="C158" s="31"/>
      <c r="D158" s="31"/>
      <c r="E158" s="30"/>
      <c r="F158" s="31"/>
      <c r="G158" s="31"/>
      <c r="H158" s="30"/>
      <c r="I158" s="31" t="str">
        <f>IF(F158="","",IF(F158="Tecnicatura en composición coreográfica en ddv fusión","Jime",CONCATENATE(VLOOKUP(G158,OPCIONES!D:E,2,0),VLOOKUP(H158,OPCIONES!$G$2:$H$8,2,0))))</f>
        <v/>
      </c>
      <c r="J158" s="49">
        <f t="shared" si="3"/>
        <v>15000</v>
      </c>
      <c r="K158" s="49" t="s">
        <v>91</v>
      </c>
      <c r="L158" s="49" t="s">
        <v>176</v>
      </c>
      <c r="N158" s="49" t="s">
        <v>254</v>
      </c>
    </row>
    <row r="159" spans="1:14" ht="27.9" customHeight="1" x14ac:dyDescent="0.3">
      <c r="A159" s="31"/>
      <c r="B159" s="30"/>
      <c r="C159" s="31"/>
      <c r="D159" s="31"/>
      <c r="E159" s="30"/>
      <c r="F159" s="31"/>
      <c r="G159" s="31"/>
      <c r="H159" s="30"/>
      <c r="I159" s="31" t="str">
        <f>IF(F159="","",IF(F159="Tecnicatura en composición coreográfica en ddv fusión","Jime",CONCATENATE(VLOOKUP(G159,OPCIONES!D:E,2,0),VLOOKUP(H159,OPCIONES!$G$2:$H$8,2,0))))</f>
        <v/>
      </c>
      <c r="J159" s="49">
        <f t="shared" si="3"/>
        <v>15000</v>
      </c>
      <c r="K159" s="49" t="s">
        <v>91</v>
      </c>
      <c r="L159" s="49" t="s">
        <v>176</v>
      </c>
      <c r="N159" s="49" t="s">
        <v>254</v>
      </c>
    </row>
    <row r="160" spans="1:14" ht="27.9" customHeight="1" x14ac:dyDescent="0.3">
      <c r="A160" s="31"/>
      <c r="B160" s="30"/>
      <c r="C160" s="31"/>
      <c r="D160" s="31"/>
      <c r="E160" s="30"/>
      <c r="F160" s="31"/>
      <c r="G160" s="31"/>
      <c r="H160" s="30"/>
      <c r="I160" s="31" t="str">
        <f>IF(F160="","",IF(F160="Tecnicatura en composición coreográfica en ddv fusión","Jime",CONCATENATE(VLOOKUP(G160,OPCIONES!D:E,2,0),VLOOKUP(H160,OPCIONES!$G$2:$H$8,2,0))))</f>
        <v/>
      </c>
      <c r="J160" s="49">
        <f t="shared" si="3"/>
        <v>15000</v>
      </c>
      <c r="K160" s="49" t="s">
        <v>91</v>
      </c>
      <c r="L160" s="49" t="s">
        <v>176</v>
      </c>
      <c r="N160" s="49" t="s">
        <v>254</v>
      </c>
    </row>
    <row r="161" spans="1:14" ht="27.9" customHeight="1" x14ac:dyDescent="0.3">
      <c r="A161" s="31"/>
      <c r="B161" s="30"/>
      <c r="C161" s="31"/>
      <c r="D161" s="31"/>
      <c r="E161" s="30"/>
      <c r="F161" s="31"/>
      <c r="G161" s="31"/>
      <c r="H161" s="30"/>
      <c r="I161" s="31" t="str">
        <f>IF(F161="","",IF(F161="Tecnicatura en composición coreográfica en ddv fusión","Jime",CONCATENATE(VLOOKUP(G161,OPCIONES!D:E,2,0),VLOOKUP(H161,OPCIONES!$G$2:$H$8,2,0))))</f>
        <v/>
      </c>
      <c r="J161" s="49">
        <f t="shared" si="3"/>
        <v>15000</v>
      </c>
      <c r="K161" s="49" t="s">
        <v>91</v>
      </c>
      <c r="L161" s="49" t="s">
        <v>176</v>
      </c>
      <c r="N161" s="49" t="s">
        <v>254</v>
      </c>
    </row>
    <row r="162" spans="1:14" ht="27.9" customHeight="1" x14ac:dyDescent="0.3">
      <c r="A162" s="31"/>
      <c r="B162" s="30"/>
      <c r="C162" s="31"/>
      <c r="D162" s="31"/>
      <c r="E162" s="30"/>
      <c r="F162" s="31"/>
      <c r="G162" s="31"/>
      <c r="H162" s="30"/>
      <c r="I162" s="31" t="str">
        <f>IF(F162="","",IF(F162="Tecnicatura en composición coreográfica en ddv fusión","Jime",CONCATENATE(VLOOKUP(G162,OPCIONES!D:E,2,0),VLOOKUP(H162,OPCIONES!$G$2:$H$8,2,0))))</f>
        <v/>
      </c>
      <c r="J162" s="49">
        <f t="shared" si="3"/>
        <v>15000</v>
      </c>
      <c r="K162" s="49" t="s">
        <v>91</v>
      </c>
      <c r="L162" s="49" t="s">
        <v>176</v>
      </c>
      <c r="N162" s="49" t="s">
        <v>254</v>
      </c>
    </row>
    <row r="163" spans="1:14" ht="27.9" customHeight="1" x14ac:dyDescent="0.3">
      <c r="A163" s="31"/>
      <c r="B163" s="30"/>
      <c r="C163" s="31"/>
      <c r="D163" s="31"/>
      <c r="E163" s="30"/>
      <c r="F163" s="31"/>
      <c r="G163" s="31"/>
      <c r="H163" s="30"/>
      <c r="I163" s="31" t="str">
        <f>IF(F163="","",IF(F163="Tecnicatura en composición coreográfica en ddv fusión","Jime",CONCATENATE(VLOOKUP(G163,OPCIONES!D:E,2,0),VLOOKUP(H163,OPCIONES!$G$2:$H$8,2,0))))</f>
        <v/>
      </c>
      <c r="J163" s="49">
        <f t="shared" si="3"/>
        <v>15000</v>
      </c>
      <c r="K163" s="49" t="s">
        <v>91</v>
      </c>
      <c r="L163" s="49" t="s">
        <v>176</v>
      </c>
      <c r="N163" s="49" t="s">
        <v>254</v>
      </c>
    </row>
    <row r="164" spans="1:14" ht="27.9" customHeight="1" x14ac:dyDescent="0.3">
      <c r="A164" s="31"/>
      <c r="B164" s="30"/>
      <c r="C164" s="31"/>
      <c r="D164" s="31"/>
      <c r="E164" s="30"/>
      <c r="F164" s="31"/>
      <c r="G164" s="31"/>
      <c r="H164" s="30"/>
      <c r="I164" s="31" t="str">
        <f>IF(F164="","",IF(F164="Tecnicatura en composición coreográfica en ddv fusión","Jime",CONCATENATE(VLOOKUP(G164,OPCIONES!D:E,2,0),VLOOKUP(H164,OPCIONES!$G$2:$H$8,2,0))))</f>
        <v/>
      </c>
      <c r="J164" s="49">
        <f t="shared" si="3"/>
        <v>15000</v>
      </c>
      <c r="K164" s="49" t="s">
        <v>91</v>
      </c>
      <c r="L164" s="49" t="s">
        <v>176</v>
      </c>
      <c r="N164" s="49" t="s">
        <v>254</v>
      </c>
    </row>
    <row r="165" spans="1:14" ht="27.9" customHeight="1" x14ac:dyDescent="0.3">
      <c r="A165" s="31"/>
      <c r="B165" s="30"/>
      <c r="C165" s="31"/>
      <c r="D165" s="31"/>
      <c r="E165" s="30"/>
      <c r="F165" s="31"/>
      <c r="G165" s="31"/>
      <c r="H165" s="30"/>
      <c r="I165" s="31" t="str">
        <f>IF(F165="","",IF(F165="Tecnicatura en composición coreográfica en ddv fusión","Jime",CONCATENATE(VLOOKUP(G165,OPCIONES!D:E,2,0),VLOOKUP(H165,OPCIONES!$G$2:$H$8,2,0))))</f>
        <v/>
      </c>
      <c r="J165" s="49">
        <f t="shared" si="3"/>
        <v>15000</v>
      </c>
      <c r="K165" s="49" t="s">
        <v>91</v>
      </c>
      <c r="L165" s="49" t="s">
        <v>176</v>
      </c>
      <c r="N165" s="49" t="s">
        <v>254</v>
      </c>
    </row>
    <row r="166" spans="1:14" ht="27.9" customHeight="1" x14ac:dyDescent="0.3">
      <c r="A166" s="31"/>
      <c r="B166" s="30"/>
      <c r="C166" s="31"/>
      <c r="D166" s="31"/>
      <c r="E166" s="30"/>
      <c r="F166" s="31"/>
      <c r="G166" s="31"/>
      <c r="H166" s="30"/>
      <c r="I166" s="31" t="str">
        <f>IF(F166="","",IF(F166="Tecnicatura en composición coreográfica en ddv fusión","Jime",CONCATENATE(VLOOKUP(G166,OPCIONES!D:E,2,0),VLOOKUP(H166,OPCIONES!$G$2:$H$8,2,0))))</f>
        <v/>
      </c>
      <c r="J166" s="49">
        <f t="shared" si="3"/>
        <v>15000</v>
      </c>
      <c r="K166" s="49" t="s">
        <v>91</v>
      </c>
      <c r="L166" s="49" t="s">
        <v>176</v>
      </c>
      <c r="N166" s="49" t="s">
        <v>254</v>
      </c>
    </row>
    <row r="167" spans="1:14" ht="27.9" customHeight="1" x14ac:dyDescent="0.3">
      <c r="A167" s="31"/>
      <c r="B167" s="30"/>
      <c r="C167" s="31"/>
      <c r="D167" s="31"/>
      <c r="E167" s="30"/>
      <c r="F167" s="31"/>
      <c r="G167" s="31"/>
      <c r="H167" s="30"/>
      <c r="I167" s="31" t="str">
        <f>IF(F167="","",IF(F167="Tecnicatura en composición coreográfica en ddv fusión","Jime",CONCATENATE(VLOOKUP(G167,OPCIONES!D:E,2,0),VLOOKUP(H167,OPCIONES!$G$2:$H$8,2,0))))</f>
        <v/>
      </c>
      <c r="J167" s="49">
        <f t="shared" si="3"/>
        <v>15000</v>
      </c>
      <c r="K167" s="49" t="s">
        <v>91</v>
      </c>
      <c r="L167" s="49" t="s">
        <v>176</v>
      </c>
      <c r="N167" s="49" t="s">
        <v>254</v>
      </c>
    </row>
    <row r="168" spans="1:14" ht="27.9" customHeight="1" x14ac:dyDescent="0.3">
      <c r="A168" s="31"/>
      <c r="B168" s="30"/>
      <c r="C168" s="31"/>
      <c r="D168" s="31"/>
      <c r="E168" s="30"/>
      <c r="F168" s="31"/>
      <c r="G168" s="31"/>
      <c r="H168" s="30"/>
      <c r="I168" s="31" t="str">
        <f>IF(F168="","",IF(F168="Tecnicatura en composición coreográfica en ddv fusión","Jime",CONCATENATE(VLOOKUP(G168,OPCIONES!D:E,2,0),VLOOKUP(H168,OPCIONES!$G$2:$H$8,2,0))))</f>
        <v/>
      </c>
      <c r="J168" s="49">
        <f t="shared" si="3"/>
        <v>15000</v>
      </c>
      <c r="K168" s="49" t="s">
        <v>91</v>
      </c>
      <c r="L168" s="49" t="s">
        <v>176</v>
      </c>
      <c r="N168" s="49" t="s">
        <v>254</v>
      </c>
    </row>
    <row r="169" spans="1:14" ht="27.9" customHeight="1" x14ac:dyDescent="0.3">
      <c r="A169" s="31"/>
      <c r="B169" s="30"/>
      <c r="C169" s="31"/>
      <c r="D169" s="31"/>
      <c r="E169" s="30"/>
      <c r="F169" s="31"/>
      <c r="G169" s="31"/>
      <c r="H169" s="30"/>
      <c r="I169" s="31" t="str">
        <f>IF(F169="","",IF(F169="Tecnicatura en composición coreográfica en ddv fusión","Jime",CONCATENATE(VLOOKUP(G169,OPCIONES!D:E,2,0),VLOOKUP(H169,OPCIONES!$G$2:$H$8,2,0))))</f>
        <v/>
      </c>
      <c r="J169" s="49">
        <f t="shared" si="3"/>
        <v>15000</v>
      </c>
      <c r="K169" s="49" t="s">
        <v>91</v>
      </c>
      <c r="L169" s="49" t="s">
        <v>176</v>
      </c>
      <c r="N169" s="49" t="s">
        <v>254</v>
      </c>
    </row>
    <row r="170" spans="1:14" ht="27.9" customHeight="1" x14ac:dyDescent="0.3">
      <c r="A170" s="31"/>
      <c r="B170" s="30"/>
      <c r="C170" s="31"/>
      <c r="D170" s="31"/>
      <c r="E170" s="30"/>
      <c r="F170" s="31"/>
      <c r="G170" s="31"/>
      <c r="H170" s="30"/>
      <c r="I170" s="31" t="str">
        <f>IF(F170="","",IF(F170="Tecnicatura en composición coreográfica en ddv fusión","Jime",CONCATENATE(VLOOKUP(G170,OPCIONES!D:E,2,0),VLOOKUP(H170,OPCIONES!$G$2:$H$8,2,0))))</f>
        <v/>
      </c>
      <c r="J170" s="49">
        <f t="shared" si="3"/>
        <v>15000</v>
      </c>
      <c r="K170" s="49" t="s">
        <v>91</v>
      </c>
      <c r="L170" s="49" t="s">
        <v>176</v>
      </c>
      <c r="N170" s="49" t="s">
        <v>254</v>
      </c>
    </row>
    <row r="171" spans="1:14" ht="27.9" customHeight="1" x14ac:dyDescent="0.3">
      <c r="A171" s="31"/>
      <c r="B171" s="30"/>
      <c r="C171" s="31"/>
      <c r="D171" s="31"/>
      <c r="E171" s="30"/>
      <c r="F171" s="31"/>
      <c r="G171" s="31"/>
      <c r="H171" s="30"/>
      <c r="I171" s="31" t="str">
        <f>IF(F171="","",IF(F171="Tecnicatura en composición coreográfica en ddv fusión","Jime",CONCATENATE(VLOOKUP(G171,OPCIONES!D:E,2,0),VLOOKUP(H171,OPCIONES!$G$2:$H$8,2,0))))</f>
        <v/>
      </c>
      <c r="J171" s="49">
        <f t="shared" si="3"/>
        <v>15000</v>
      </c>
      <c r="K171" s="49" t="s">
        <v>91</v>
      </c>
      <c r="L171" s="49" t="s">
        <v>176</v>
      </c>
      <c r="N171" s="49" t="s">
        <v>254</v>
      </c>
    </row>
    <row r="172" spans="1:14" ht="27.9" customHeight="1" x14ac:dyDescent="0.3">
      <c r="A172" s="31"/>
      <c r="B172" s="30"/>
      <c r="C172" s="31"/>
      <c r="D172" s="31"/>
      <c r="E172" s="30"/>
      <c r="F172" s="31"/>
      <c r="G172" s="31"/>
      <c r="H172" s="30"/>
      <c r="I172" s="31" t="str">
        <f>IF(F172="","",IF(F172="Tecnicatura en composición coreográfica en ddv fusión","Jime",CONCATENATE(VLOOKUP(G172,OPCIONES!D:E,2,0),VLOOKUP(H172,OPCIONES!$G$2:$H$8,2,0))))</f>
        <v/>
      </c>
      <c r="J172" s="49">
        <f t="shared" si="3"/>
        <v>15000</v>
      </c>
      <c r="K172" s="49" t="s">
        <v>91</v>
      </c>
      <c r="L172" s="49" t="s">
        <v>176</v>
      </c>
      <c r="N172" s="49" t="s">
        <v>254</v>
      </c>
    </row>
    <row r="173" spans="1:14" ht="27.9" customHeight="1" x14ac:dyDescent="0.3">
      <c r="A173" s="31"/>
      <c r="B173" s="30"/>
      <c r="C173" s="31"/>
      <c r="D173" s="31"/>
      <c r="E173" s="30"/>
      <c r="F173" s="31"/>
      <c r="G173" s="31"/>
      <c r="H173" s="30"/>
      <c r="I173" s="31" t="str">
        <f>IF(F173="","",IF(F173="Tecnicatura en composición coreográfica en ddv fusión","Jime",CONCATENATE(VLOOKUP(G173,OPCIONES!D:E,2,0),VLOOKUP(H173,OPCIONES!$G$2:$H$8,2,0))))</f>
        <v/>
      </c>
      <c r="J173" s="49">
        <f t="shared" si="3"/>
        <v>15000</v>
      </c>
      <c r="K173" s="49" t="s">
        <v>91</v>
      </c>
      <c r="L173" s="49" t="s">
        <v>176</v>
      </c>
      <c r="N173" s="49" t="s">
        <v>254</v>
      </c>
    </row>
    <row r="174" spans="1:14" ht="27.9" customHeight="1" x14ac:dyDescent="0.3">
      <c r="A174" s="31"/>
      <c r="B174" s="30"/>
      <c r="C174" s="31"/>
      <c r="D174" s="31"/>
      <c r="E174" s="30"/>
      <c r="F174" s="31"/>
      <c r="G174" s="31"/>
      <c r="H174" s="30"/>
      <c r="I174" s="31" t="str">
        <f>IF(F174="","",IF(F174="Tecnicatura en composición coreográfica en ddv fusión","Jime",CONCATENATE(VLOOKUP(G174,OPCIONES!D:E,2,0),VLOOKUP(H174,OPCIONES!$G$2:$H$8,2,0))))</f>
        <v/>
      </c>
      <c r="J174" s="49">
        <f t="shared" si="3"/>
        <v>15000</v>
      </c>
      <c r="K174" s="49" t="s">
        <v>91</v>
      </c>
      <c r="L174" s="49" t="s">
        <v>176</v>
      </c>
      <c r="N174" s="49" t="s">
        <v>254</v>
      </c>
    </row>
    <row r="175" spans="1:14" ht="27.9" customHeight="1" x14ac:dyDescent="0.3">
      <c r="A175" s="31"/>
      <c r="B175" s="30"/>
      <c r="C175" s="31"/>
      <c r="D175" s="31"/>
      <c r="E175" s="30"/>
      <c r="F175" s="31"/>
      <c r="G175" s="31"/>
      <c r="H175" s="30"/>
      <c r="I175" s="31" t="str">
        <f>IF(F175="","",IF(F175="Tecnicatura en composición coreográfica en ddv fusión","Jime",CONCATENATE(VLOOKUP(G175,OPCIONES!D:E,2,0),VLOOKUP(H175,OPCIONES!$G$2:$H$8,2,0))))</f>
        <v/>
      </c>
      <c r="J175" s="49">
        <f t="shared" si="3"/>
        <v>15000</v>
      </c>
      <c r="K175" s="49" t="s">
        <v>91</v>
      </c>
      <c r="L175" s="49" t="s">
        <v>176</v>
      </c>
      <c r="N175" s="49" t="s">
        <v>254</v>
      </c>
    </row>
    <row r="176" spans="1:14" ht="27.9" customHeight="1" x14ac:dyDescent="0.3">
      <c r="A176" s="31"/>
      <c r="B176" s="30"/>
      <c r="C176" s="31"/>
      <c r="D176" s="31"/>
      <c r="E176" s="30"/>
      <c r="F176" s="31"/>
      <c r="G176" s="31"/>
      <c r="H176" s="30"/>
      <c r="I176" s="31" t="str">
        <f>IF(F176="","",IF(F176="Tecnicatura en composición coreográfica en ddv fusión","Jime",CONCATENATE(VLOOKUP(G176,OPCIONES!D:E,2,0),VLOOKUP(H176,OPCIONES!$G$2:$H$8,2,0))))</f>
        <v/>
      </c>
      <c r="J176" s="49">
        <f t="shared" si="3"/>
        <v>15000</v>
      </c>
      <c r="K176" s="49" t="s">
        <v>91</v>
      </c>
      <c r="L176" s="49" t="s">
        <v>176</v>
      </c>
      <c r="N176" s="49" t="s">
        <v>254</v>
      </c>
    </row>
    <row r="177" spans="1:14" ht="27.9" customHeight="1" x14ac:dyDescent="0.3">
      <c r="A177" s="31"/>
      <c r="B177" s="30"/>
      <c r="C177" s="31"/>
      <c r="D177" s="31"/>
      <c r="E177" s="30"/>
      <c r="F177" s="31"/>
      <c r="G177" s="31"/>
      <c r="H177" s="30"/>
      <c r="I177" s="31" t="str">
        <f>IF(F177="","",IF(F177="Tecnicatura en composición coreográfica en ddv fusión","Jime",CONCATENATE(VLOOKUP(G177,OPCIONES!D:E,2,0),VLOOKUP(H177,OPCIONES!$G$2:$H$8,2,0))))</f>
        <v/>
      </c>
      <c r="J177" s="49">
        <f t="shared" si="3"/>
        <v>15000</v>
      </c>
      <c r="K177" s="49" t="s">
        <v>91</v>
      </c>
      <c r="L177" s="49" t="s">
        <v>176</v>
      </c>
      <c r="N177" s="49" t="s">
        <v>254</v>
      </c>
    </row>
    <row r="178" spans="1:14" ht="27.9" customHeight="1" x14ac:dyDescent="0.3">
      <c r="A178" s="31"/>
      <c r="B178" s="30"/>
      <c r="C178" s="31"/>
      <c r="D178" s="31"/>
      <c r="E178" s="30"/>
      <c r="F178" s="31"/>
      <c r="G178" s="31"/>
      <c r="H178" s="30"/>
      <c r="I178" s="31" t="str">
        <f>IF(F178="","",IF(F178="Tecnicatura en composición coreográfica en ddv fusión","Jime",CONCATENATE(VLOOKUP(G178,OPCIONES!D:E,2,0),VLOOKUP(H178,OPCIONES!$G$2:$H$8,2,0))))</f>
        <v/>
      </c>
      <c r="J178" s="49">
        <f t="shared" si="3"/>
        <v>15000</v>
      </c>
      <c r="K178" s="49" t="s">
        <v>91</v>
      </c>
      <c r="L178" s="49" t="s">
        <v>176</v>
      </c>
      <c r="N178" s="49" t="s">
        <v>254</v>
      </c>
    </row>
    <row r="179" spans="1:14" ht="27.9" customHeight="1" x14ac:dyDescent="0.3">
      <c r="A179" s="31"/>
      <c r="B179" s="30"/>
      <c r="C179" s="31"/>
      <c r="D179" s="31"/>
      <c r="E179" s="30"/>
      <c r="F179" s="31"/>
      <c r="G179" s="31"/>
      <c r="H179" s="30"/>
      <c r="I179" s="31" t="str">
        <f>IF(F179="","",IF(F179="Tecnicatura en composición coreográfica en ddv fusión","Jime",CONCATENATE(VLOOKUP(G179,OPCIONES!D:E,2,0),VLOOKUP(H179,OPCIONES!$G$2:$H$8,2,0))))</f>
        <v/>
      </c>
      <c r="J179" s="49">
        <f t="shared" si="3"/>
        <v>15000</v>
      </c>
      <c r="K179" s="49" t="s">
        <v>91</v>
      </c>
      <c r="L179" s="49" t="s">
        <v>176</v>
      </c>
      <c r="N179" s="49" t="s">
        <v>254</v>
      </c>
    </row>
    <row r="180" spans="1:14" ht="27.9" customHeight="1" x14ac:dyDescent="0.3">
      <c r="A180" s="31"/>
      <c r="B180" s="30"/>
      <c r="C180" s="31"/>
      <c r="D180" s="31"/>
      <c r="E180" s="30"/>
      <c r="F180" s="31"/>
      <c r="G180" s="31"/>
      <c r="H180" s="30"/>
      <c r="I180" s="31" t="str">
        <f>IF(F180="","",IF(F180="Tecnicatura en composición coreográfica en ddv fusión","Jime",CONCATENATE(VLOOKUP(G180,OPCIONES!D:E,2,0),VLOOKUP(H180,OPCIONES!$G$2:$H$8,2,0))))</f>
        <v/>
      </c>
      <c r="J180" s="49">
        <f t="shared" si="3"/>
        <v>15000</v>
      </c>
      <c r="K180" s="49" t="s">
        <v>91</v>
      </c>
      <c r="L180" s="49" t="s">
        <v>176</v>
      </c>
      <c r="N180" s="49" t="s">
        <v>254</v>
      </c>
    </row>
    <row r="181" spans="1:14" ht="27.9" customHeight="1" x14ac:dyDescent="0.3">
      <c r="A181" s="31"/>
      <c r="B181" s="30"/>
      <c r="C181" s="31"/>
      <c r="D181" s="31"/>
      <c r="E181" s="30"/>
      <c r="F181" s="31"/>
      <c r="G181" s="31"/>
      <c r="H181" s="30"/>
      <c r="I181" s="31" t="str">
        <f>IF(F181="","",IF(F181="Tecnicatura en composición coreográfica en ddv fusión","Jime",CONCATENATE(VLOOKUP(G181,OPCIONES!D:E,2,0),VLOOKUP(H181,OPCIONES!$G$2:$H$8,2,0))))</f>
        <v/>
      </c>
      <c r="J181" s="49">
        <f t="shared" si="3"/>
        <v>15000</v>
      </c>
      <c r="K181" s="49" t="s">
        <v>91</v>
      </c>
      <c r="L181" s="49" t="s">
        <v>176</v>
      </c>
      <c r="N181" s="49" t="s">
        <v>254</v>
      </c>
    </row>
    <row r="182" spans="1:14" ht="27.9" customHeight="1" x14ac:dyDescent="0.3">
      <c r="A182" s="31"/>
      <c r="B182" s="30"/>
      <c r="C182" s="31"/>
      <c r="D182" s="31"/>
      <c r="E182" s="30"/>
      <c r="F182" s="31"/>
      <c r="G182" s="31"/>
      <c r="H182" s="30"/>
      <c r="I182" s="31" t="str">
        <f>IF(F182="","",IF(F182="Tecnicatura en composición coreográfica en ddv fusión","Jime",CONCATENATE(VLOOKUP(G182,OPCIONES!D:E,2,0),VLOOKUP(H182,OPCIONES!$G$2:$H$8,2,0))))</f>
        <v/>
      </c>
      <c r="J182" s="49">
        <f t="shared" si="3"/>
        <v>15000</v>
      </c>
      <c r="K182" s="49" t="s">
        <v>91</v>
      </c>
      <c r="L182" s="49" t="s">
        <v>176</v>
      </c>
      <c r="N182" s="49" t="s">
        <v>254</v>
      </c>
    </row>
    <row r="183" spans="1:14" ht="27.9" customHeight="1" x14ac:dyDescent="0.3">
      <c r="A183" s="31"/>
      <c r="B183" s="30"/>
      <c r="C183" s="31"/>
      <c r="D183" s="31"/>
      <c r="E183" s="30"/>
      <c r="F183" s="31"/>
      <c r="G183" s="31"/>
      <c r="H183" s="30"/>
      <c r="I183" s="31" t="str">
        <f>IF(F183="","",IF(F183="Tecnicatura en composición coreográfica en ddv fusión","Jime",CONCATENATE(VLOOKUP(G183,OPCIONES!D:E,2,0),VLOOKUP(H183,OPCIONES!$G$2:$H$8,2,0))))</f>
        <v/>
      </c>
      <c r="J183" s="49">
        <f t="shared" si="3"/>
        <v>15000</v>
      </c>
      <c r="K183" s="49" t="s">
        <v>91</v>
      </c>
      <c r="L183" s="49" t="s">
        <v>176</v>
      </c>
      <c r="N183" s="49" t="s">
        <v>254</v>
      </c>
    </row>
    <row r="184" spans="1:14" ht="27.9" customHeight="1" x14ac:dyDescent="0.3">
      <c r="A184" s="31"/>
      <c r="B184" s="30"/>
      <c r="C184" s="31"/>
      <c r="D184" s="31"/>
      <c r="E184" s="30"/>
      <c r="F184" s="31"/>
      <c r="G184" s="31"/>
      <c r="H184" s="30"/>
      <c r="I184" s="31" t="str">
        <f>IF(F184="","",IF(F184="Tecnicatura en composición coreográfica en ddv fusión","Jime",CONCATENATE(VLOOKUP(G184,OPCIONES!D:E,2,0),VLOOKUP(H184,OPCIONES!$G$2:$H$8,2,0))))</f>
        <v/>
      </c>
      <c r="J184" s="49">
        <f t="shared" si="3"/>
        <v>15000</v>
      </c>
      <c r="K184" s="49" t="s">
        <v>91</v>
      </c>
      <c r="L184" s="49" t="s">
        <v>176</v>
      </c>
      <c r="N184" s="49" t="s">
        <v>254</v>
      </c>
    </row>
    <row r="185" spans="1:14" ht="27.9" customHeight="1" x14ac:dyDescent="0.3">
      <c r="A185" s="31"/>
      <c r="B185" s="30"/>
      <c r="C185" s="31"/>
      <c r="D185" s="31"/>
      <c r="E185" s="30"/>
      <c r="F185" s="31"/>
      <c r="G185" s="31"/>
      <c r="H185" s="30"/>
      <c r="I185" s="31" t="str">
        <f>IF(F185="","",IF(F185="Tecnicatura en composición coreográfica en ddv fusión","Jime",CONCATENATE(VLOOKUP(G185,OPCIONES!D:E,2,0),VLOOKUP(H185,OPCIONES!$G$2:$H$8,2,0))))</f>
        <v/>
      </c>
      <c r="J185" s="49">
        <f t="shared" si="3"/>
        <v>15000</v>
      </c>
      <c r="K185" s="49" t="s">
        <v>91</v>
      </c>
      <c r="L185" s="49" t="s">
        <v>176</v>
      </c>
      <c r="N185" s="49" t="s">
        <v>254</v>
      </c>
    </row>
    <row r="186" spans="1:14" ht="27.9" customHeight="1" x14ac:dyDescent="0.3">
      <c r="A186" s="31"/>
      <c r="B186" s="30"/>
      <c r="C186" s="31"/>
      <c r="D186" s="31"/>
      <c r="E186" s="30"/>
      <c r="F186" s="31"/>
      <c r="G186" s="31"/>
      <c r="H186" s="30"/>
      <c r="I186" s="31" t="str">
        <f>IF(F186="","",IF(F186="Tecnicatura en composición coreográfica en ddv fusión","Jime",CONCATENATE(VLOOKUP(G186,OPCIONES!D:E,2,0),VLOOKUP(H186,OPCIONES!$G$2:$H$8,2,0))))</f>
        <v/>
      </c>
      <c r="J186" s="49">
        <f t="shared" si="3"/>
        <v>15000</v>
      </c>
      <c r="K186" s="49" t="s">
        <v>91</v>
      </c>
      <c r="L186" s="49" t="s">
        <v>176</v>
      </c>
      <c r="N186" s="49" t="s">
        <v>254</v>
      </c>
    </row>
    <row r="187" spans="1:14" ht="27.9" customHeight="1" x14ac:dyDescent="0.3">
      <c r="A187" s="31"/>
      <c r="B187" s="30"/>
      <c r="C187" s="31"/>
      <c r="D187" s="31"/>
      <c r="E187" s="30"/>
      <c r="F187" s="31"/>
      <c r="G187" s="31"/>
      <c r="H187" s="30"/>
      <c r="I187" s="31" t="str">
        <f>IF(F187="","",IF(F187="Tecnicatura en composición coreográfica en ddv fusión","Jime",CONCATENATE(VLOOKUP(G187,OPCIONES!D:E,2,0),VLOOKUP(H187,OPCIONES!$G$2:$H$8,2,0))))</f>
        <v/>
      </c>
      <c r="J187" s="49">
        <f t="shared" si="3"/>
        <v>15000</v>
      </c>
      <c r="K187" s="49" t="s">
        <v>91</v>
      </c>
      <c r="L187" s="49" t="s">
        <v>176</v>
      </c>
      <c r="N187" s="49" t="s">
        <v>254</v>
      </c>
    </row>
    <row r="188" spans="1:14" ht="27.9" customHeight="1" x14ac:dyDescent="0.3">
      <c r="A188" s="31"/>
      <c r="B188" s="30"/>
      <c r="C188" s="31"/>
      <c r="D188" s="31"/>
      <c r="E188" s="30"/>
      <c r="F188" s="31"/>
      <c r="G188" s="31"/>
      <c r="H188" s="30"/>
      <c r="I188" s="31" t="str">
        <f>IF(F188="","",IF(F188="Tecnicatura en composición coreográfica en ddv fusión","Jime",CONCATENATE(VLOOKUP(G188,OPCIONES!D:E,2,0),VLOOKUP(H188,OPCIONES!$G$2:$H$8,2,0))))</f>
        <v/>
      </c>
      <c r="J188" s="49">
        <f t="shared" si="3"/>
        <v>15000</v>
      </c>
      <c r="K188" s="49" t="s">
        <v>91</v>
      </c>
      <c r="L188" s="49" t="s">
        <v>176</v>
      </c>
      <c r="N188" s="49" t="s">
        <v>254</v>
      </c>
    </row>
    <row r="189" spans="1:14" ht="27.9" customHeight="1" x14ac:dyDescent="0.3">
      <c r="A189" s="31"/>
      <c r="B189" s="30"/>
      <c r="C189" s="31"/>
      <c r="D189" s="31"/>
      <c r="E189" s="30"/>
      <c r="F189" s="31"/>
      <c r="G189" s="31"/>
      <c r="H189" s="30"/>
      <c r="I189" s="31" t="str">
        <f>IF(F189="","",IF(F189="Tecnicatura en composición coreográfica en ddv fusión","Jime",CONCATENATE(VLOOKUP(G189,OPCIONES!D:E,2,0),VLOOKUP(H189,OPCIONES!$G$2:$H$8,2,0))))</f>
        <v/>
      </c>
      <c r="J189" s="49">
        <f t="shared" si="3"/>
        <v>15000</v>
      </c>
      <c r="K189" s="49" t="s">
        <v>91</v>
      </c>
      <c r="L189" s="49" t="s">
        <v>176</v>
      </c>
      <c r="N189" s="49" t="s">
        <v>254</v>
      </c>
    </row>
    <row r="190" spans="1:14" ht="27.9" customHeight="1" x14ac:dyDescent="0.3">
      <c r="A190" s="31"/>
      <c r="B190" s="30"/>
      <c r="C190" s="31"/>
      <c r="D190" s="31"/>
      <c r="E190" s="30"/>
      <c r="F190" s="31"/>
      <c r="G190" s="31"/>
      <c r="H190" s="30"/>
      <c r="I190" s="31" t="str">
        <f>IF(F190="","",IF(F190="Tecnicatura en composición coreográfica en ddv fusión","Jime",CONCATENATE(VLOOKUP(G190,OPCIONES!D:E,2,0),VLOOKUP(H190,OPCIONES!$G$2:$H$8,2,0))))</f>
        <v/>
      </c>
      <c r="J190" s="49">
        <f t="shared" si="3"/>
        <v>15000</v>
      </c>
      <c r="K190" s="49" t="s">
        <v>91</v>
      </c>
      <c r="L190" s="49" t="s">
        <v>176</v>
      </c>
      <c r="N190" s="49" t="s">
        <v>254</v>
      </c>
    </row>
    <row r="191" spans="1:14" ht="27.9" customHeight="1" x14ac:dyDescent="0.3">
      <c r="A191" s="31"/>
      <c r="B191" s="30"/>
      <c r="C191" s="31"/>
      <c r="D191" s="31"/>
      <c r="E191" s="30"/>
      <c r="F191" s="31"/>
      <c r="G191" s="31"/>
      <c r="H191" s="30"/>
      <c r="I191" s="31" t="str">
        <f>IF(F191="","",IF(F191="Tecnicatura en composición coreográfica en ddv fusión","Jime",CONCATENATE(VLOOKUP(G191,OPCIONES!D:E,2,0),VLOOKUP(H191,OPCIONES!$G$2:$H$8,2,0))))</f>
        <v/>
      </c>
      <c r="J191" s="49">
        <f t="shared" si="3"/>
        <v>15000</v>
      </c>
      <c r="K191" s="49" t="s">
        <v>91</v>
      </c>
      <c r="L191" s="49" t="s">
        <v>176</v>
      </c>
      <c r="N191" s="49" t="s">
        <v>254</v>
      </c>
    </row>
    <row r="192" spans="1:14" ht="27.9" customHeight="1" x14ac:dyDescent="0.3">
      <c r="A192" s="31"/>
      <c r="B192" s="30"/>
      <c r="C192" s="31"/>
      <c r="D192" s="31"/>
      <c r="E192" s="30"/>
      <c r="F192" s="31"/>
      <c r="G192" s="31"/>
      <c r="H192" s="30"/>
      <c r="I192" s="31" t="str">
        <f>IF(F192="","",IF(F192="Tecnicatura en composición coreográfica en ddv fusión","Jime",CONCATENATE(VLOOKUP(G192,OPCIONES!D:E,2,0),VLOOKUP(H192,OPCIONES!$G$2:$H$8,2,0))))</f>
        <v/>
      </c>
      <c r="J192" s="49">
        <f t="shared" si="3"/>
        <v>15000</v>
      </c>
      <c r="K192" s="49" t="s">
        <v>91</v>
      </c>
      <c r="L192" s="49" t="s">
        <v>176</v>
      </c>
      <c r="N192" s="49" t="s">
        <v>254</v>
      </c>
    </row>
    <row r="193" spans="1:14" ht="27.9" customHeight="1" x14ac:dyDescent="0.3">
      <c r="A193" s="31"/>
      <c r="B193" s="30"/>
      <c r="C193" s="31"/>
      <c r="D193" s="31"/>
      <c r="E193" s="30"/>
      <c r="F193" s="31"/>
      <c r="G193" s="31"/>
      <c r="H193" s="30"/>
      <c r="I193" s="31" t="str">
        <f>IF(F193="","",IF(F193="Tecnicatura en composición coreográfica en ddv fusión","Jime",CONCATENATE(VLOOKUP(G193,OPCIONES!D:E,2,0),VLOOKUP(H193,OPCIONES!$G$2:$H$8,2,0))))</f>
        <v/>
      </c>
      <c r="J193" s="49">
        <f t="shared" si="3"/>
        <v>15000</v>
      </c>
      <c r="K193" s="49" t="s">
        <v>91</v>
      </c>
      <c r="L193" s="49" t="s">
        <v>176</v>
      </c>
      <c r="N193" s="49" t="s">
        <v>254</v>
      </c>
    </row>
    <row r="194" spans="1:14" ht="27.9" customHeight="1" x14ac:dyDescent="0.3">
      <c r="A194" s="31"/>
      <c r="B194" s="30"/>
      <c r="C194" s="31"/>
      <c r="D194" s="31"/>
      <c r="E194" s="30"/>
      <c r="F194" s="31"/>
      <c r="G194" s="31"/>
      <c r="H194" s="30"/>
      <c r="I194" s="31" t="str">
        <f>IF(F194="","",IF(F194="Tecnicatura en composición coreográfica en ddv fusión","Jime",CONCATENATE(VLOOKUP(G194,OPCIONES!D:E,2,0),VLOOKUP(H194,OPCIONES!$G$2:$H$8,2,0))))</f>
        <v/>
      </c>
      <c r="J194" s="49">
        <f t="shared" si="3"/>
        <v>15000</v>
      </c>
      <c r="K194" s="49" t="s">
        <v>91</v>
      </c>
      <c r="L194" s="49" t="s">
        <v>176</v>
      </c>
      <c r="N194" s="49" t="s">
        <v>254</v>
      </c>
    </row>
    <row r="195" spans="1:14" ht="27.9" customHeight="1" x14ac:dyDescent="0.3">
      <c r="A195" s="31"/>
      <c r="B195" s="30"/>
      <c r="C195" s="31"/>
      <c r="D195" s="31"/>
      <c r="E195" s="30"/>
      <c r="F195" s="31"/>
      <c r="G195" s="31"/>
      <c r="H195" s="30"/>
      <c r="I195" s="31" t="str">
        <f>IF(F195="","",IF(F195="Tecnicatura en composición coreográfica en ddv fusión","Jime",CONCATENATE(VLOOKUP(G195,OPCIONES!D:E,2,0),VLOOKUP(H195,OPCIONES!$G$2:$H$8,2,0))))</f>
        <v/>
      </c>
      <c r="J195" s="49">
        <f t="shared" si="3"/>
        <v>15000</v>
      </c>
      <c r="K195" s="49" t="s">
        <v>91</v>
      </c>
      <c r="L195" s="49" t="s">
        <v>176</v>
      </c>
      <c r="N195" s="49" t="s">
        <v>254</v>
      </c>
    </row>
    <row r="196" spans="1:14" ht="27.9" customHeight="1" x14ac:dyDescent="0.3">
      <c r="A196" s="31"/>
      <c r="B196" s="30"/>
      <c r="C196" s="31"/>
      <c r="D196" s="31"/>
      <c r="E196" s="30"/>
      <c r="F196" s="31"/>
      <c r="G196" s="31"/>
      <c r="H196" s="30"/>
      <c r="I196" s="31" t="str">
        <f>IF(F196="","",IF(F196="Tecnicatura en composición coreográfica en ddv fusión","Jime",CONCATENATE(VLOOKUP(G196,OPCIONES!D:E,2,0),VLOOKUP(H196,OPCIONES!$G$2:$H$8,2,0))))</f>
        <v/>
      </c>
      <c r="J196" s="49">
        <f t="shared" si="3"/>
        <v>15000</v>
      </c>
      <c r="K196" s="49" t="s">
        <v>91</v>
      </c>
      <c r="L196" s="49" t="s">
        <v>176</v>
      </c>
      <c r="N196" s="49" t="s">
        <v>254</v>
      </c>
    </row>
    <row r="197" spans="1:14" ht="27.9" customHeight="1" x14ac:dyDescent="0.3">
      <c r="A197" s="31"/>
      <c r="B197" s="30"/>
      <c r="C197" s="31"/>
      <c r="D197" s="31"/>
      <c r="E197" s="30"/>
      <c r="F197" s="31"/>
      <c r="G197" s="31"/>
      <c r="H197" s="30"/>
      <c r="I197" s="31" t="str">
        <f>IF(F197="","",IF(F197="Tecnicatura en composición coreográfica en ddv fusión","Jime",CONCATENATE(VLOOKUP(G197,OPCIONES!D:E,2,0),VLOOKUP(H197,OPCIONES!$G$2:$H$8,2,0))))</f>
        <v/>
      </c>
      <c r="J197" s="49">
        <f t="shared" si="3"/>
        <v>15000</v>
      </c>
      <c r="K197" s="49" t="s">
        <v>91</v>
      </c>
      <c r="L197" s="49" t="s">
        <v>176</v>
      </c>
      <c r="N197" s="49" t="s">
        <v>254</v>
      </c>
    </row>
    <row r="198" spans="1:14" ht="27.9" customHeight="1" x14ac:dyDescent="0.3">
      <c r="A198" s="31"/>
      <c r="B198" s="30"/>
      <c r="C198" s="31"/>
      <c r="D198" s="31"/>
      <c r="E198" s="30"/>
      <c r="F198" s="31"/>
      <c r="G198" s="31"/>
      <c r="H198" s="30"/>
      <c r="I198" s="31" t="str">
        <f>IF(F198="","",IF(F198="Tecnicatura en composición coreográfica en ddv fusión","Jime",CONCATENATE(VLOOKUP(G198,OPCIONES!D:E,2,0),VLOOKUP(H198,OPCIONES!$G$2:$H$8,2,0))))</f>
        <v/>
      </c>
      <c r="J198" s="49">
        <f t="shared" ref="J198:J261" si="4">$I$1</f>
        <v>15000</v>
      </c>
      <c r="K198" s="49" t="s">
        <v>91</v>
      </c>
      <c r="L198" s="49" t="s">
        <v>176</v>
      </c>
      <c r="N198" s="49" t="s">
        <v>254</v>
      </c>
    </row>
    <row r="199" spans="1:14" ht="27.9" customHeight="1" x14ac:dyDescent="0.3">
      <c r="A199" s="31"/>
      <c r="B199" s="30"/>
      <c r="C199" s="31"/>
      <c r="D199" s="31"/>
      <c r="E199" s="30"/>
      <c r="F199" s="31"/>
      <c r="G199" s="31"/>
      <c r="H199" s="30"/>
      <c r="I199" s="31" t="str">
        <f>IF(F199="","",IF(F199="Tecnicatura en composición coreográfica en ddv fusión","Jime",CONCATENATE(VLOOKUP(G199,OPCIONES!D:E,2,0),VLOOKUP(H199,OPCIONES!$G$2:$H$8,2,0))))</f>
        <v/>
      </c>
      <c r="J199" s="49">
        <f t="shared" si="4"/>
        <v>15000</v>
      </c>
      <c r="K199" s="49" t="s">
        <v>91</v>
      </c>
      <c r="L199" s="49" t="s">
        <v>176</v>
      </c>
      <c r="N199" s="49" t="s">
        <v>254</v>
      </c>
    </row>
    <row r="200" spans="1:14" ht="27.9" customHeight="1" x14ac:dyDescent="0.3">
      <c r="A200" s="31"/>
      <c r="B200" s="30"/>
      <c r="C200" s="31"/>
      <c r="D200" s="31"/>
      <c r="E200" s="30"/>
      <c r="F200" s="31"/>
      <c r="G200" s="31"/>
      <c r="H200" s="30"/>
      <c r="I200" s="31" t="str">
        <f>IF(F200="","",IF(F200="Tecnicatura en composición coreográfica en ddv fusión","Jime",CONCATENATE(VLOOKUP(G200,OPCIONES!D:E,2,0),VLOOKUP(H200,OPCIONES!$G$2:$H$8,2,0))))</f>
        <v/>
      </c>
      <c r="J200" s="49">
        <f t="shared" si="4"/>
        <v>15000</v>
      </c>
      <c r="K200" s="49" t="s">
        <v>91</v>
      </c>
      <c r="L200" s="49" t="s">
        <v>176</v>
      </c>
      <c r="N200" s="49" t="s">
        <v>254</v>
      </c>
    </row>
    <row r="201" spans="1:14" ht="27.9" customHeight="1" x14ac:dyDescent="0.3">
      <c r="A201" s="31"/>
      <c r="B201" s="30"/>
      <c r="C201" s="31"/>
      <c r="D201" s="31"/>
      <c r="E201" s="30"/>
      <c r="F201" s="31"/>
      <c r="G201" s="31"/>
      <c r="H201" s="30"/>
      <c r="I201" s="31" t="str">
        <f>IF(F201="","",IF(F201="Tecnicatura en composición coreográfica en ddv fusión","Jime",CONCATENATE(VLOOKUP(G201,OPCIONES!D:E,2,0),VLOOKUP(H201,OPCIONES!$G$2:$H$8,2,0))))</f>
        <v/>
      </c>
      <c r="J201" s="49">
        <f t="shared" si="4"/>
        <v>15000</v>
      </c>
      <c r="K201" s="49" t="s">
        <v>91</v>
      </c>
      <c r="L201" s="49" t="s">
        <v>176</v>
      </c>
      <c r="N201" s="49" t="s">
        <v>254</v>
      </c>
    </row>
    <row r="202" spans="1:14" ht="27.9" customHeight="1" x14ac:dyDescent="0.3">
      <c r="A202" s="31"/>
      <c r="B202" s="30"/>
      <c r="C202" s="31"/>
      <c r="D202" s="31"/>
      <c r="E202" s="30"/>
      <c r="F202" s="31"/>
      <c r="G202" s="31"/>
      <c r="H202" s="30"/>
      <c r="I202" s="31" t="str">
        <f>IF(F202="","",IF(F202="Tecnicatura en composición coreográfica en ddv fusión","Jime",CONCATENATE(VLOOKUP(G202,OPCIONES!D:E,2,0),VLOOKUP(H202,OPCIONES!$G$2:$H$8,2,0))))</f>
        <v/>
      </c>
      <c r="J202" s="49">
        <f t="shared" si="4"/>
        <v>15000</v>
      </c>
      <c r="K202" s="49" t="s">
        <v>91</v>
      </c>
      <c r="L202" s="49" t="s">
        <v>176</v>
      </c>
      <c r="N202" s="49" t="s">
        <v>254</v>
      </c>
    </row>
    <row r="203" spans="1:14" ht="27.9" customHeight="1" x14ac:dyDescent="0.3">
      <c r="A203" s="31"/>
      <c r="B203" s="30"/>
      <c r="C203" s="31"/>
      <c r="D203" s="31"/>
      <c r="E203" s="30"/>
      <c r="F203" s="31"/>
      <c r="G203" s="31"/>
      <c r="H203" s="30"/>
      <c r="I203" s="31" t="str">
        <f>IF(F203="","",IF(F203="Tecnicatura en composición coreográfica en ddv fusión","Jime",CONCATENATE(VLOOKUP(G203,OPCIONES!D:E,2,0),VLOOKUP(H203,OPCIONES!$G$2:$H$8,2,0))))</f>
        <v/>
      </c>
      <c r="J203" s="49">
        <f t="shared" si="4"/>
        <v>15000</v>
      </c>
      <c r="K203" s="49" t="s">
        <v>91</v>
      </c>
      <c r="L203" s="49" t="s">
        <v>176</v>
      </c>
      <c r="N203" s="49" t="s">
        <v>254</v>
      </c>
    </row>
    <row r="204" spans="1:14" ht="27.9" customHeight="1" x14ac:dyDescent="0.3">
      <c r="A204" s="31"/>
      <c r="B204" s="30"/>
      <c r="C204" s="31"/>
      <c r="D204" s="31"/>
      <c r="E204" s="30"/>
      <c r="F204" s="31"/>
      <c r="G204" s="31"/>
      <c r="H204" s="30"/>
      <c r="I204" s="31" t="str">
        <f>IF(F204="","",IF(F204="Tecnicatura en composición coreográfica en ddv fusión","Jime",CONCATENATE(VLOOKUP(G204,OPCIONES!D:E,2,0),VLOOKUP(H204,OPCIONES!$G$2:$H$8,2,0))))</f>
        <v/>
      </c>
      <c r="J204" s="49">
        <f t="shared" si="4"/>
        <v>15000</v>
      </c>
      <c r="K204" s="49" t="s">
        <v>91</v>
      </c>
      <c r="L204" s="49" t="s">
        <v>176</v>
      </c>
      <c r="N204" s="49" t="s">
        <v>254</v>
      </c>
    </row>
    <row r="205" spans="1:14" ht="27.9" customHeight="1" x14ac:dyDescent="0.3">
      <c r="A205" s="31"/>
      <c r="B205" s="30"/>
      <c r="C205" s="31"/>
      <c r="D205" s="31"/>
      <c r="E205" s="30"/>
      <c r="F205" s="31"/>
      <c r="G205" s="31"/>
      <c r="H205" s="30"/>
      <c r="I205" s="31" t="str">
        <f>IF(F205="","",IF(F205="Tecnicatura en composición coreográfica en ddv fusión","Jime",CONCATENATE(VLOOKUP(G205,OPCIONES!D:E,2,0),VLOOKUP(H205,OPCIONES!$G$2:$H$8,2,0))))</f>
        <v/>
      </c>
      <c r="J205" s="49">
        <f t="shared" si="4"/>
        <v>15000</v>
      </c>
      <c r="K205" s="49" t="s">
        <v>91</v>
      </c>
      <c r="L205" s="49" t="s">
        <v>176</v>
      </c>
      <c r="N205" s="49" t="s">
        <v>254</v>
      </c>
    </row>
    <row r="206" spans="1:14" ht="27.9" customHeight="1" x14ac:dyDescent="0.3">
      <c r="A206" s="31"/>
      <c r="B206" s="30"/>
      <c r="C206" s="31"/>
      <c r="D206" s="31"/>
      <c r="E206" s="30"/>
      <c r="F206" s="31"/>
      <c r="G206" s="31"/>
      <c r="H206" s="30"/>
      <c r="I206" s="31" t="str">
        <f>IF(F206="","",IF(F206="Tecnicatura en composición coreográfica en ddv fusión","Jime",CONCATENATE(VLOOKUP(G206,OPCIONES!D:E,2,0),VLOOKUP(H206,OPCIONES!$G$2:$H$8,2,0))))</f>
        <v/>
      </c>
      <c r="J206" s="49">
        <f t="shared" si="4"/>
        <v>15000</v>
      </c>
      <c r="K206" s="49" t="s">
        <v>91</v>
      </c>
      <c r="L206" s="49" t="s">
        <v>176</v>
      </c>
      <c r="N206" s="49" t="s">
        <v>254</v>
      </c>
    </row>
    <row r="207" spans="1:14" ht="27.9" customHeight="1" x14ac:dyDescent="0.3">
      <c r="A207" s="31"/>
      <c r="B207" s="30"/>
      <c r="C207" s="31"/>
      <c r="D207" s="31"/>
      <c r="E207" s="30"/>
      <c r="F207" s="31"/>
      <c r="G207" s="31"/>
      <c r="H207" s="30"/>
      <c r="I207" s="31" t="str">
        <f>IF(F207="","",IF(F207="Tecnicatura en composición coreográfica en ddv fusión","Jime",CONCATENATE(VLOOKUP(G207,OPCIONES!D:E,2,0),VLOOKUP(H207,OPCIONES!$G$2:$H$8,2,0))))</f>
        <v/>
      </c>
      <c r="J207" s="49">
        <f t="shared" si="4"/>
        <v>15000</v>
      </c>
      <c r="K207" s="49" t="s">
        <v>91</v>
      </c>
      <c r="L207" s="49" t="s">
        <v>176</v>
      </c>
      <c r="N207" s="49" t="s">
        <v>254</v>
      </c>
    </row>
    <row r="208" spans="1:14" ht="27.9" customHeight="1" x14ac:dyDescent="0.3">
      <c r="A208" s="31"/>
      <c r="B208" s="30"/>
      <c r="C208" s="31"/>
      <c r="D208" s="31"/>
      <c r="E208" s="30"/>
      <c r="F208" s="31"/>
      <c r="G208" s="31"/>
      <c r="H208" s="30"/>
      <c r="I208" s="31" t="str">
        <f>IF(F208="","",IF(F208="Tecnicatura en composición coreográfica en ddv fusión","Jime",CONCATENATE(VLOOKUP(G208,OPCIONES!D:E,2,0),VLOOKUP(H208,OPCIONES!$G$2:$H$8,2,0))))</f>
        <v/>
      </c>
      <c r="J208" s="49">
        <f t="shared" si="4"/>
        <v>15000</v>
      </c>
      <c r="K208" s="49" t="s">
        <v>91</v>
      </c>
      <c r="L208" s="49" t="s">
        <v>176</v>
      </c>
      <c r="N208" s="49" t="s">
        <v>254</v>
      </c>
    </row>
    <row r="209" spans="1:14" ht="27.9" customHeight="1" x14ac:dyDescent="0.3">
      <c r="A209" s="31"/>
      <c r="B209" s="30"/>
      <c r="C209" s="31"/>
      <c r="D209" s="31"/>
      <c r="E209" s="30"/>
      <c r="F209" s="31"/>
      <c r="G209" s="31"/>
      <c r="H209" s="30"/>
      <c r="I209" s="31" t="str">
        <f>IF(F209="","",IF(F209="Tecnicatura en composición coreográfica en ddv fusión","Jime",CONCATENATE(VLOOKUP(G209,OPCIONES!D:E,2,0),VLOOKUP(H209,OPCIONES!$G$2:$H$8,2,0))))</f>
        <v/>
      </c>
      <c r="J209" s="49">
        <f t="shared" si="4"/>
        <v>15000</v>
      </c>
      <c r="K209" s="49" t="s">
        <v>91</v>
      </c>
      <c r="L209" s="49" t="s">
        <v>176</v>
      </c>
      <c r="N209" s="49" t="s">
        <v>254</v>
      </c>
    </row>
    <row r="210" spans="1:14" ht="27.9" customHeight="1" x14ac:dyDescent="0.3">
      <c r="A210" s="31"/>
      <c r="B210" s="30"/>
      <c r="C210" s="31"/>
      <c r="D210" s="31"/>
      <c r="E210" s="30"/>
      <c r="F210" s="31"/>
      <c r="G210" s="31"/>
      <c r="H210" s="30"/>
      <c r="I210" s="31" t="str">
        <f>IF(F210="","",IF(F210="Tecnicatura en composición coreográfica en ddv fusión","Jime",CONCATENATE(VLOOKUP(G210,OPCIONES!D:E,2,0),VLOOKUP(H210,OPCIONES!$G$2:$H$8,2,0))))</f>
        <v/>
      </c>
      <c r="J210" s="49">
        <f t="shared" si="4"/>
        <v>15000</v>
      </c>
      <c r="K210" s="49" t="s">
        <v>91</v>
      </c>
      <c r="L210" s="49" t="s">
        <v>176</v>
      </c>
      <c r="N210" s="49" t="s">
        <v>254</v>
      </c>
    </row>
    <row r="211" spans="1:14" ht="27.9" customHeight="1" x14ac:dyDescent="0.3">
      <c r="A211" s="31"/>
      <c r="B211" s="30"/>
      <c r="C211" s="31"/>
      <c r="D211" s="31"/>
      <c r="E211" s="30"/>
      <c r="F211" s="31"/>
      <c r="G211" s="31"/>
      <c r="H211" s="30"/>
      <c r="I211" s="31" t="str">
        <f>IF(F211="","",IF(F211="Tecnicatura en composición coreográfica en ddv fusión","Jime",CONCATENATE(VLOOKUP(G211,OPCIONES!D:E,2,0),VLOOKUP(H211,OPCIONES!$G$2:$H$8,2,0))))</f>
        <v/>
      </c>
      <c r="J211" s="49">
        <f t="shared" si="4"/>
        <v>15000</v>
      </c>
      <c r="K211" s="49" t="s">
        <v>91</v>
      </c>
      <c r="L211" s="49" t="s">
        <v>176</v>
      </c>
      <c r="N211" s="49" t="s">
        <v>254</v>
      </c>
    </row>
    <row r="212" spans="1:14" ht="27.9" customHeight="1" x14ac:dyDescent="0.3">
      <c r="A212" s="31"/>
      <c r="B212" s="30"/>
      <c r="C212" s="31"/>
      <c r="D212" s="31"/>
      <c r="E212" s="30"/>
      <c r="F212" s="31"/>
      <c r="G212" s="31"/>
      <c r="H212" s="30"/>
      <c r="I212" s="31" t="str">
        <f>IF(F212="","",IF(F212="Tecnicatura en composición coreográfica en ddv fusión","Jime",CONCATENATE(VLOOKUP(G212,OPCIONES!D:E,2,0),VLOOKUP(H212,OPCIONES!$G$2:$H$8,2,0))))</f>
        <v/>
      </c>
      <c r="J212" s="49">
        <f t="shared" si="4"/>
        <v>15000</v>
      </c>
      <c r="K212" s="49" t="s">
        <v>91</v>
      </c>
      <c r="L212" s="49" t="s">
        <v>176</v>
      </c>
      <c r="N212" s="49" t="s">
        <v>254</v>
      </c>
    </row>
    <row r="213" spans="1:14" ht="27.9" customHeight="1" x14ac:dyDescent="0.3">
      <c r="A213" s="31"/>
      <c r="B213" s="30"/>
      <c r="C213" s="31"/>
      <c r="D213" s="31"/>
      <c r="E213" s="30"/>
      <c r="F213" s="31"/>
      <c r="G213" s="31"/>
      <c r="H213" s="30"/>
      <c r="I213" s="31" t="str">
        <f>IF(F213="","",IF(F213="Tecnicatura en composición coreográfica en ddv fusión","Jime",CONCATENATE(VLOOKUP(G213,OPCIONES!D:E,2,0),VLOOKUP(H213,OPCIONES!$G$2:$H$8,2,0))))</f>
        <v/>
      </c>
      <c r="J213" s="49">
        <f t="shared" si="4"/>
        <v>15000</v>
      </c>
      <c r="K213" s="49" t="s">
        <v>91</v>
      </c>
      <c r="L213" s="49" t="s">
        <v>176</v>
      </c>
      <c r="N213" s="49" t="s">
        <v>254</v>
      </c>
    </row>
    <row r="214" spans="1:14" ht="27.9" customHeight="1" x14ac:dyDescent="0.3">
      <c r="A214" s="31"/>
      <c r="B214" s="30"/>
      <c r="C214" s="31"/>
      <c r="D214" s="31"/>
      <c r="E214" s="30"/>
      <c r="F214" s="31"/>
      <c r="G214" s="31"/>
      <c r="H214" s="30"/>
      <c r="I214" s="31" t="str">
        <f>IF(F214="","",IF(F214="Tecnicatura en composición coreográfica en ddv fusión","Jime",CONCATENATE(VLOOKUP(G214,OPCIONES!D:E,2,0),VLOOKUP(H214,OPCIONES!$G$2:$H$8,2,0))))</f>
        <v/>
      </c>
      <c r="J214" s="49">
        <f t="shared" si="4"/>
        <v>15000</v>
      </c>
      <c r="K214" s="49" t="s">
        <v>91</v>
      </c>
      <c r="L214" s="49" t="s">
        <v>176</v>
      </c>
      <c r="N214" s="49" t="s">
        <v>254</v>
      </c>
    </row>
    <row r="215" spans="1:14" ht="27.9" customHeight="1" x14ac:dyDescent="0.3">
      <c r="A215" s="31"/>
      <c r="B215" s="30"/>
      <c r="C215" s="31"/>
      <c r="D215" s="31"/>
      <c r="E215" s="30"/>
      <c r="F215" s="31"/>
      <c r="G215" s="31"/>
      <c r="H215" s="30"/>
      <c r="I215" s="31" t="str">
        <f>IF(F215="","",IF(F215="Tecnicatura en composición coreográfica en ddv fusión","Jime",CONCATENATE(VLOOKUP(G215,OPCIONES!D:E,2,0),VLOOKUP(H215,OPCIONES!$G$2:$H$8,2,0))))</f>
        <v/>
      </c>
      <c r="J215" s="49">
        <f t="shared" si="4"/>
        <v>15000</v>
      </c>
      <c r="K215" s="49" t="s">
        <v>91</v>
      </c>
      <c r="L215" s="49" t="s">
        <v>176</v>
      </c>
      <c r="N215" s="49" t="s">
        <v>254</v>
      </c>
    </row>
    <row r="216" spans="1:14" ht="27.9" customHeight="1" x14ac:dyDescent="0.3">
      <c r="A216" s="31"/>
      <c r="B216" s="30"/>
      <c r="C216" s="31"/>
      <c r="D216" s="31"/>
      <c r="E216" s="30"/>
      <c r="F216" s="31"/>
      <c r="G216" s="31"/>
      <c r="H216" s="30"/>
      <c r="I216" s="31" t="str">
        <f>IF(F216="","",IF(F216="Tecnicatura en composición coreográfica en ddv fusión","Jime",CONCATENATE(VLOOKUP(G216,OPCIONES!D:E,2,0),VLOOKUP(H216,OPCIONES!$G$2:$H$8,2,0))))</f>
        <v/>
      </c>
      <c r="J216" s="49">
        <f t="shared" si="4"/>
        <v>15000</v>
      </c>
      <c r="K216" s="49" t="s">
        <v>91</v>
      </c>
      <c r="L216" s="49" t="s">
        <v>176</v>
      </c>
      <c r="N216" s="49" t="s">
        <v>254</v>
      </c>
    </row>
    <row r="217" spans="1:14" ht="27.9" customHeight="1" x14ac:dyDescent="0.3">
      <c r="A217" s="31"/>
      <c r="B217" s="30"/>
      <c r="C217" s="31"/>
      <c r="D217" s="31"/>
      <c r="E217" s="30"/>
      <c r="F217" s="31"/>
      <c r="G217" s="31"/>
      <c r="H217" s="30"/>
      <c r="I217" s="31" t="str">
        <f>IF(F217="","",IF(F217="Tecnicatura en composición coreográfica en ddv fusión","Jime",CONCATENATE(VLOOKUP(G217,OPCIONES!D:E,2,0),VLOOKUP(H217,OPCIONES!$G$2:$H$8,2,0))))</f>
        <v/>
      </c>
      <c r="J217" s="49">
        <f t="shared" si="4"/>
        <v>15000</v>
      </c>
      <c r="K217" s="49" t="s">
        <v>91</v>
      </c>
      <c r="L217" s="49" t="s">
        <v>176</v>
      </c>
      <c r="N217" s="49" t="s">
        <v>254</v>
      </c>
    </row>
    <row r="218" spans="1:14" ht="27.9" customHeight="1" x14ac:dyDescent="0.3">
      <c r="A218" s="31"/>
      <c r="B218" s="30"/>
      <c r="C218" s="31"/>
      <c r="D218" s="31"/>
      <c r="E218" s="30"/>
      <c r="F218" s="31"/>
      <c r="G218" s="31"/>
      <c r="H218" s="30"/>
      <c r="I218" s="31" t="str">
        <f>IF(F218="","",IF(F218="Tecnicatura en composición coreográfica en ddv fusión","Jime",CONCATENATE(VLOOKUP(G218,OPCIONES!D:E,2,0),VLOOKUP(H218,OPCIONES!$G$2:$H$8,2,0))))</f>
        <v/>
      </c>
      <c r="J218" s="49">
        <f t="shared" si="4"/>
        <v>15000</v>
      </c>
      <c r="K218" s="49" t="s">
        <v>91</v>
      </c>
      <c r="L218" s="49" t="s">
        <v>176</v>
      </c>
      <c r="N218" s="49" t="s">
        <v>254</v>
      </c>
    </row>
    <row r="219" spans="1:14" ht="27.9" customHeight="1" x14ac:dyDescent="0.3">
      <c r="A219" s="31"/>
      <c r="B219" s="30"/>
      <c r="C219" s="31"/>
      <c r="D219" s="31"/>
      <c r="E219" s="30"/>
      <c r="F219" s="31"/>
      <c r="G219" s="31"/>
      <c r="H219" s="30"/>
      <c r="I219" s="31" t="str">
        <f>IF(F219="","",IF(F219="Tecnicatura en composición coreográfica en ddv fusión","Jime",CONCATENATE(VLOOKUP(G219,OPCIONES!D:E,2,0),VLOOKUP(H219,OPCIONES!$G$2:$H$8,2,0))))</f>
        <v/>
      </c>
      <c r="J219" s="49">
        <f t="shared" si="4"/>
        <v>15000</v>
      </c>
      <c r="K219" s="49" t="s">
        <v>91</v>
      </c>
      <c r="L219" s="49" t="s">
        <v>176</v>
      </c>
      <c r="N219" s="49" t="s">
        <v>254</v>
      </c>
    </row>
    <row r="220" spans="1:14" ht="27.9" customHeight="1" x14ac:dyDescent="0.3">
      <c r="A220" s="31"/>
      <c r="B220" s="30"/>
      <c r="C220" s="31"/>
      <c r="D220" s="31"/>
      <c r="E220" s="30"/>
      <c r="F220" s="31"/>
      <c r="G220" s="31"/>
      <c r="H220" s="30"/>
      <c r="I220" s="31" t="str">
        <f>IF(F220="","",IF(F220="Tecnicatura en composición coreográfica en ddv fusión","Jime",CONCATENATE(VLOOKUP(G220,OPCIONES!D:E,2,0),VLOOKUP(H220,OPCIONES!$G$2:$H$8,2,0))))</f>
        <v/>
      </c>
      <c r="J220" s="49">
        <f t="shared" si="4"/>
        <v>15000</v>
      </c>
      <c r="K220" s="49" t="s">
        <v>91</v>
      </c>
      <c r="L220" s="49" t="s">
        <v>176</v>
      </c>
      <c r="N220" s="49" t="s">
        <v>254</v>
      </c>
    </row>
    <row r="221" spans="1:14" ht="27.9" customHeight="1" x14ac:dyDescent="0.3">
      <c r="A221" s="31"/>
      <c r="B221" s="30"/>
      <c r="C221" s="31"/>
      <c r="D221" s="31"/>
      <c r="E221" s="30"/>
      <c r="F221" s="31"/>
      <c r="G221" s="31"/>
      <c r="H221" s="30"/>
      <c r="I221" s="31" t="str">
        <f>IF(F221="","",IF(F221="Tecnicatura en composición coreográfica en ddv fusión","Jime",CONCATENATE(VLOOKUP(G221,OPCIONES!D:E,2,0),VLOOKUP(H221,OPCIONES!$G$2:$H$8,2,0))))</f>
        <v/>
      </c>
      <c r="J221" s="49">
        <f t="shared" si="4"/>
        <v>15000</v>
      </c>
      <c r="K221" s="49" t="s">
        <v>91</v>
      </c>
      <c r="L221" s="49" t="s">
        <v>176</v>
      </c>
      <c r="N221" s="49" t="s">
        <v>254</v>
      </c>
    </row>
    <row r="222" spans="1:14" ht="27.9" customHeight="1" x14ac:dyDescent="0.3">
      <c r="A222" s="31"/>
      <c r="B222" s="30"/>
      <c r="C222" s="31"/>
      <c r="D222" s="31"/>
      <c r="E222" s="30"/>
      <c r="F222" s="31"/>
      <c r="G222" s="31"/>
      <c r="H222" s="30"/>
      <c r="I222" s="31" t="str">
        <f>IF(F222="","",IF(F222="Tecnicatura en composición coreográfica en ddv fusión","Jime",CONCATENATE(VLOOKUP(G222,OPCIONES!D:E,2,0),VLOOKUP(H222,OPCIONES!$G$2:$H$8,2,0))))</f>
        <v/>
      </c>
      <c r="J222" s="49">
        <f t="shared" si="4"/>
        <v>15000</v>
      </c>
      <c r="K222" s="49" t="s">
        <v>91</v>
      </c>
      <c r="L222" s="49" t="s">
        <v>176</v>
      </c>
      <c r="N222" s="49" t="s">
        <v>254</v>
      </c>
    </row>
    <row r="223" spans="1:14" ht="27.9" customHeight="1" x14ac:dyDescent="0.3">
      <c r="A223" s="31"/>
      <c r="B223" s="30"/>
      <c r="C223" s="31"/>
      <c r="D223" s="31"/>
      <c r="E223" s="30"/>
      <c r="F223" s="31"/>
      <c r="G223" s="31"/>
      <c r="H223" s="30"/>
      <c r="I223" s="31" t="str">
        <f>IF(F223="","",IF(F223="Tecnicatura en composición coreográfica en ddv fusión","Jime",CONCATENATE(VLOOKUP(G223,OPCIONES!D:E,2,0),VLOOKUP(H223,OPCIONES!$G$2:$H$8,2,0))))</f>
        <v/>
      </c>
      <c r="J223" s="49">
        <f t="shared" si="4"/>
        <v>15000</v>
      </c>
      <c r="K223" s="49" t="s">
        <v>91</v>
      </c>
      <c r="L223" s="49" t="s">
        <v>176</v>
      </c>
      <c r="N223" s="49" t="s">
        <v>254</v>
      </c>
    </row>
    <row r="224" spans="1:14" ht="27.9" customHeight="1" x14ac:dyDescent="0.3">
      <c r="A224" s="31"/>
      <c r="B224" s="30"/>
      <c r="C224" s="31"/>
      <c r="D224" s="31"/>
      <c r="E224" s="30"/>
      <c r="F224" s="31"/>
      <c r="G224" s="31"/>
      <c r="H224" s="30"/>
      <c r="I224" s="31" t="str">
        <f>IF(F224="","",IF(F224="Tecnicatura en composición coreográfica en ddv fusión","Jime",CONCATENATE(VLOOKUP(G224,OPCIONES!D:E,2,0),VLOOKUP(H224,OPCIONES!$G$2:$H$8,2,0))))</f>
        <v/>
      </c>
      <c r="J224" s="49">
        <f t="shared" si="4"/>
        <v>15000</v>
      </c>
      <c r="K224" s="49" t="s">
        <v>91</v>
      </c>
      <c r="L224" s="49" t="s">
        <v>176</v>
      </c>
      <c r="N224" s="49" t="s">
        <v>254</v>
      </c>
    </row>
    <row r="225" spans="1:14" ht="27.9" customHeight="1" x14ac:dyDescent="0.3">
      <c r="A225" s="31"/>
      <c r="B225" s="30"/>
      <c r="C225" s="31"/>
      <c r="D225" s="31"/>
      <c r="E225" s="30"/>
      <c r="F225" s="31"/>
      <c r="G225" s="31"/>
      <c r="H225" s="30"/>
      <c r="I225" s="31" t="str">
        <f>IF(F225="","",IF(F225="Tecnicatura en composición coreográfica en ddv fusión","Jime",CONCATENATE(VLOOKUP(G225,OPCIONES!D:E,2,0),VLOOKUP(H225,OPCIONES!$G$2:$H$8,2,0))))</f>
        <v/>
      </c>
      <c r="J225" s="49">
        <f t="shared" si="4"/>
        <v>15000</v>
      </c>
      <c r="K225" s="49" t="s">
        <v>91</v>
      </c>
      <c r="L225" s="49" t="s">
        <v>176</v>
      </c>
      <c r="N225" s="49" t="s">
        <v>254</v>
      </c>
    </row>
    <row r="226" spans="1:14" ht="27.9" customHeight="1" x14ac:dyDescent="0.3">
      <c r="A226" s="31"/>
      <c r="B226" s="30"/>
      <c r="C226" s="31"/>
      <c r="D226" s="31"/>
      <c r="E226" s="30"/>
      <c r="F226" s="31"/>
      <c r="G226" s="31"/>
      <c r="H226" s="30"/>
      <c r="I226" s="31" t="str">
        <f>IF(F226="","",IF(F226="Tecnicatura en composición coreográfica en ddv fusión","Jime",CONCATENATE(VLOOKUP(G226,OPCIONES!D:E,2,0),VLOOKUP(H226,OPCIONES!$G$2:$H$8,2,0))))</f>
        <v/>
      </c>
      <c r="J226" s="49">
        <f t="shared" si="4"/>
        <v>15000</v>
      </c>
      <c r="K226" s="49" t="s">
        <v>91</v>
      </c>
      <c r="L226" s="49" t="s">
        <v>176</v>
      </c>
      <c r="N226" s="49" t="s">
        <v>254</v>
      </c>
    </row>
    <row r="227" spans="1:14" ht="27.9" customHeight="1" x14ac:dyDescent="0.3">
      <c r="A227" s="31"/>
      <c r="B227" s="30"/>
      <c r="C227" s="31"/>
      <c r="D227" s="31"/>
      <c r="E227" s="30"/>
      <c r="F227" s="31"/>
      <c r="G227" s="31"/>
      <c r="H227" s="30"/>
      <c r="I227" s="31" t="str">
        <f>IF(F227="","",IF(F227="Tecnicatura en composición coreográfica en ddv fusión","Jime",CONCATENATE(VLOOKUP(G227,OPCIONES!D:E,2,0),VLOOKUP(H227,OPCIONES!$G$2:$H$8,2,0))))</f>
        <v/>
      </c>
      <c r="J227" s="49">
        <f t="shared" si="4"/>
        <v>15000</v>
      </c>
      <c r="K227" s="49" t="s">
        <v>91</v>
      </c>
      <c r="L227" s="49" t="s">
        <v>176</v>
      </c>
      <c r="N227" s="49" t="s">
        <v>254</v>
      </c>
    </row>
    <row r="228" spans="1:14" ht="27.9" customHeight="1" x14ac:dyDescent="0.3">
      <c r="A228" s="31"/>
      <c r="B228" s="30"/>
      <c r="C228" s="31"/>
      <c r="D228" s="31"/>
      <c r="E228" s="30"/>
      <c r="F228" s="31"/>
      <c r="G228" s="31"/>
      <c r="H228" s="30"/>
      <c r="I228" s="31" t="str">
        <f>IF(F228="","",IF(F228="Tecnicatura en composición coreográfica en ddv fusión","Jime",CONCATENATE(VLOOKUP(G228,OPCIONES!D:E,2,0),VLOOKUP(H228,OPCIONES!$G$2:$H$8,2,0))))</f>
        <v/>
      </c>
      <c r="J228" s="49">
        <f t="shared" si="4"/>
        <v>15000</v>
      </c>
      <c r="K228" s="49" t="s">
        <v>91</v>
      </c>
      <c r="L228" s="49" t="s">
        <v>176</v>
      </c>
      <c r="N228" s="49" t="s">
        <v>254</v>
      </c>
    </row>
    <row r="229" spans="1:14" ht="27.9" customHeight="1" x14ac:dyDescent="0.3">
      <c r="A229" s="31"/>
      <c r="B229" s="30"/>
      <c r="C229" s="31"/>
      <c r="D229" s="31"/>
      <c r="E229" s="30"/>
      <c r="F229" s="31"/>
      <c r="G229" s="31"/>
      <c r="H229" s="30"/>
      <c r="I229" s="31" t="str">
        <f>IF(F229="","",IF(F229="Tecnicatura en composición coreográfica en ddv fusión","Jime",CONCATENATE(VLOOKUP(G229,OPCIONES!D:E,2,0),VLOOKUP(H229,OPCIONES!$G$2:$H$8,2,0))))</f>
        <v/>
      </c>
      <c r="J229" s="49">
        <f t="shared" si="4"/>
        <v>15000</v>
      </c>
      <c r="K229" s="49" t="s">
        <v>91</v>
      </c>
      <c r="L229" s="49" t="s">
        <v>176</v>
      </c>
      <c r="N229" s="49" t="s">
        <v>254</v>
      </c>
    </row>
    <row r="230" spans="1:14" ht="27.9" customHeight="1" x14ac:dyDescent="0.3">
      <c r="A230" s="31"/>
      <c r="B230" s="30"/>
      <c r="C230" s="31"/>
      <c r="D230" s="31"/>
      <c r="E230" s="30"/>
      <c r="F230" s="31"/>
      <c r="G230" s="31"/>
      <c r="H230" s="30"/>
      <c r="I230" s="31" t="str">
        <f>IF(F230="","",IF(F230="Tecnicatura en composición coreográfica en ddv fusión","Jime",CONCATENATE(VLOOKUP(G230,OPCIONES!D:E,2,0),VLOOKUP(H230,OPCIONES!$G$2:$H$8,2,0))))</f>
        <v/>
      </c>
      <c r="J230" s="49">
        <f t="shared" si="4"/>
        <v>15000</v>
      </c>
      <c r="K230" s="49" t="s">
        <v>91</v>
      </c>
      <c r="L230" s="49" t="s">
        <v>176</v>
      </c>
      <c r="N230" s="49" t="s">
        <v>254</v>
      </c>
    </row>
    <row r="231" spans="1:14" ht="27.9" customHeight="1" x14ac:dyDescent="0.3">
      <c r="A231" s="31"/>
      <c r="B231" s="30"/>
      <c r="C231" s="31"/>
      <c r="D231" s="31"/>
      <c r="E231" s="30"/>
      <c r="F231" s="31"/>
      <c r="G231" s="31"/>
      <c r="H231" s="30"/>
      <c r="I231" s="31" t="str">
        <f>IF(F231="","",IF(F231="Tecnicatura en composición coreográfica en ddv fusión","Jime",CONCATENATE(VLOOKUP(G231,OPCIONES!D:E,2,0),VLOOKUP(H231,OPCIONES!$G$2:$H$8,2,0))))</f>
        <v/>
      </c>
      <c r="J231" s="49">
        <f t="shared" si="4"/>
        <v>15000</v>
      </c>
      <c r="K231" s="49" t="s">
        <v>91</v>
      </c>
      <c r="L231" s="49" t="s">
        <v>176</v>
      </c>
      <c r="N231" s="49" t="s">
        <v>254</v>
      </c>
    </row>
    <row r="232" spans="1:14" ht="27.9" customHeight="1" x14ac:dyDescent="0.3">
      <c r="A232" s="31"/>
      <c r="B232" s="30"/>
      <c r="C232" s="31"/>
      <c r="D232" s="31"/>
      <c r="E232" s="30"/>
      <c r="F232" s="31"/>
      <c r="G232" s="31"/>
      <c r="H232" s="30"/>
      <c r="I232" s="31" t="str">
        <f>IF(F232="","",IF(F232="Tecnicatura en composición coreográfica en ddv fusión","Jime",CONCATENATE(VLOOKUP(G232,OPCIONES!D:E,2,0),VLOOKUP(H232,OPCIONES!$G$2:$H$8,2,0))))</f>
        <v/>
      </c>
      <c r="J232" s="49">
        <f t="shared" si="4"/>
        <v>15000</v>
      </c>
      <c r="K232" s="49" t="s">
        <v>91</v>
      </c>
      <c r="L232" s="49" t="s">
        <v>176</v>
      </c>
      <c r="N232" s="49" t="s">
        <v>254</v>
      </c>
    </row>
    <row r="233" spans="1:14" ht="27.9" customHeight="1" x14ac:dyDescent="0.3">
      <c r="A233" s="31"/>
      <c r="B233" s="30"/>
      <c r="C233" s="31"/>
      <c r="D233" s="31"/>
      <c r="E233" s="30"/>
      <c r="F233" s="31"/>
      <c r="G233" s="31"/>
      <c r="H233" s="30"/>
      <c r="I233" s="31" t="str">
        <f>IF(F233="","",IF(F233="Tecnicatura en composición coreográfica en ddv fusión","Jime",CONCATENATE(VLOOKUP(G233,OPCIONES!D:E,2,0),VLOOKUP(H233,OPCIONES!$G$2:$H$8,2,0))))</f>
        <v/>
      </c>
      <c r="J233" s="49">
        <f t="shared" si="4"/>
        <v>15000</v>
      </c>
      <c r="K233" s="49" t="s">
        <v>91</v>
      </c>
      <c r="L233" s="49" t="s">
        <v>176</v>
      </c>
      <c r="N233" s="49" t="s">
        <v>254</v>
      </c>
    </row>
    <row r="234" spans="1:14" ht="27.9" customHeight="1" x14ac:dyDescent="0.3">
      <c r="A234" s="31"/>
      <c r="B234" s="30"/>
      <c r="C234" s="31"/>
      <c r="D234" s="31"/>
      <c r="E234" s="30"/>
      <c r="F234" s="31"/>
      <c r="G234" s="31"/>
      <c r="H234" s="30"/>
      <c r="I234" s="31" t="str">
        <f>IF(F234="","",IF(F234="Tecnicatura en composición coreográfica en ddv fusión","Jime",CONCATENATE(VLOOKUP(G234,OPCIONES!D:E,2,0),VLOOKUP(H234,OPCIONES!$G$2:$H$8,2,0))))</f>
        <v/>
      </c>
      <c r="J234" s="49">
        <f t="shared" si="4"/>
        <v>15000</v>
      </c>
      <c r="K234" s="49" t="s">
        <v>91</v>
      </c>
      <c r="L234" s="49" t="s">
        <v>176</v>
      </c>
      <c r="N234" s="49" t="s">
        <v>254</v>
      </c>
    </row>
    <row r="235" spans="1:14" ht="27.9" customHeight="1" x14ac:dyDescent="0.3">
      <c r="A235" s="31"/>
      <c r="B235" s="30"/>
      <c r="C235" s="31"/>
      <c r="D235" s="31"/>
      <c r="E235" s="30"/>
      <c r="F235" s="31"/>
      <c r="G235" s="31"/>
      <c r="H235" s="30"/>
      <c r="I235" s="31" t="str">
        <f>IF(F235="","",IF(F235="Tecnicatura en composición coreográfica en ddv fusión","Jime",CONCATENATE(VLOOKUP(G235,OPCIONES!D:E,2,0),VLOOKUP(H235,OPCIONES!$G$2:$H$8,2,0))))</f>
        <v/>
      </c>
      <c r="J235" s="49">
        <f t="shared" si="4"/>
        <v>15000</v>
      </c>
      <c r="K235" s="49" t="s">
        <v>91</v>
      </c>
      <c r="L235" s="49" t="s">
        <v>176</v>
      </c>
      <c r="N235" s="49" t="s">
        <v>254</v>
      </c>
    </row>
    <row r="236" spans="1:14" ht="27.9" customHeight="1" x14ac:dyDescent="0.3">
      <c r="A236" s="31"/>
      <c r="B236" s="30"/>
      <c r="C236" s="31"/>
      <c r="D236" s="31"/>
      <c r="E236" s="30"/>
      <c r="F236" s="31"/>
      <c r="G236" s="31"/>
      <c r="H236" s="30"/>
      <c r="I236" s="31" t="str">
        <f>IF(F236="","",IF(F236="Tecnicatura en composición coreográfica en ddv fusión","Jime",CONCATENATE(VLOOKUP(G236,OPCIONES!D:E,2,0),VLOOKUP(H236,OPCIONES!$G$2:$H$8,2,0))))</f>
        <v/>
      </c>
      <c r="J236" s="49">
        <f t="shared" si="4"/>
        <v>15000</v>
      </c>
      <c r="K236" s="49" t="s">
        <v>91</v>
      </c>
      <c r="L236" s="49" t="s">
        <v>176</v>
      </c>
      <c r="N236" s="49" t="s">
        <v>254</v>
      </c>
    </row>
    <row r="237" spans="1:14" ht="27.9" customHeight="1" x14ac:dyDescent="0.3">
      <c r="A237" s="31"/>
      <c r="B237" s="30"/>
      <c r="C237" s="31"/>
      <c r="D237" s="31"/>
      <c r="E237" s="30"/>
      <c r="F237" s="31"/>
      <c r="G237" s="31"/>
      <c r="H237" s="30"/>
      <c r="I237" s="31" t="str">
        <f>IF(F237="","",IF(F237="Tecnicatura en composición coreográfica en ddv fusión","Jime",CONCATENATE(VLOOKUP(G237,OPCIONES!D:E,2,0),VLOOKUP(H237,OPCIONES!$G$2:$H$8,2,0))))</f>
        <v/>
      </c>
      <c r="J237" s="49">
        <f t="shared" si="4"/>
        <v>15000</v>
      </c>
      <c r="K237" s="49" t="s">
        <v>91</v>
      </c>
      <c r="L237" s="49" t="s">
        <v>176</v>
      </c>
      <c r="N237" s="49" t="s">
        <v>254</v>
      </c>
    </row>
    <row r="238" spans="1:14" ht="27.9" customHeight="1" x14ac:dyDescent="0.3">
      <c r="A238" s="31"/>
      <c r="B238" s="30"/>
      <c r="C238" s="31"/>
      <c r="D238" s="31"/>
      <c r="E238" s="30"/>
      <c r="F238" s="31"/>
      <c r="G238" s="31"/>
      <c r="H238" s="30"/>
      <c r="I238" s="31" t="str">
        <f>IF(F238="","",IF(F238="Tecnicatura en composición coreográfica en ddv fusión","Jime",CONCATENATE(VLOOKUP(G238,OPCIONES!D:E,2,0),VLOOKUP(H238,OPCIONES!$G$2:$H$8,2,0))))</f>
        <v/>
      </c>
      <c r="J238" s="49">
        <f t="shared" si="4"/>
        <v>15000</v>
      </c>
      <c r="K238" s="49" t="s">
        <v>91</v>
      </c>
      <c r="L238" s="49" t="s">
        <v>176</v>
      </c>
      <c r="N238" s="49" t="s">
        <v>254</v>
      </c>
    </row>
    <row r="239" spans="1:14" ht="27.9" customHeight="1" x14ac:dyDescent="0.3">
      <c r="A239" s="31"/>
      <c r="B239" s="30"/>
      <c r="C239" s="31"/>
      <c r="D239" s="31"/>
      <c r="E239" s="30"/>
      <c r="F239" s="31"/>
      <c r="G239" s="31"/>
      <c r="H239" s="30"/>
      <c r="I239" s="31" t="str">
        <f>IF(F239="","",IF(F239="Tecnicatura en composición coreográfica en ddv fusión","Jime",CONCATENATE(VLOOKUP(G239,OPCIONES!D:E,2,0),VLOOKUP(H239,OPCIONES!$G$2:$H$8,2,0))))</f>
        <v/>
      </c>
      <c r="J239" s="49">
        <f t="shared" si="4"/>
        <v>15000</v>
      </c>
      <c r="K239" s="49" t="s">
        <v>91</v>
      </c>
      <c r="L239" s="49" t="s">
        <v>176</v>
      </c>
      <c r="N239" s="49" t="s">
        <v>254</v>
      </c>
    </row>
    <row r="240" spans="1:14" ht="27.9" customHeight="1" x14ac:dyDescent="0.3">
      <c r="A240" s="31"/>
      <c r="B240" s="30"/>
      <c r="C240" s="31"/>
      <c r="D240" s="31"/>
      <c r="E240" s="30"/>
      <c r="F240" s="31"/>
      <c r="G240" s="31"/>
      <c r="H240" s="30"/>
      <c r="I240" s="31" t="str">
        <f>IF(F240="","",IF(F240="Tecnicatura en composición coreográfica en ddv fusión","Jime",CONCATENATE(VLOOKUP(G240,OPCIONES!D:E,2,0),VLOOKUP(H240,OPCIONES!$G$2:$H$8,2,0))))</f>
        <v/>
      </c>
      <c r="J240" s="49">
        <f t="shared" si="4"/>
        <v>15000</v>
      </c>
      <c r="K240" s="49" t="s">
        <v>91</v>
      </c>
      <c r="L240" s="49" t="s">
        <v>176</v>
      </c>
      <c r="N240" s="49" t="s">
        <v>254</v>
      </c>
    </row>
    <row r="241" spans="1:14" ht="27.9" customHeight="1" x14ac:dyDescent="0.3">
      <c r="A241" s="31"/>
      <c r="B241" s="30"/>
      <c r="C241" s="31"/>
      <c r="D241" s="31"/>
      <c r="E241" s="30"/>
      <c r="F241" s="31"/>
      <c r="G241" s="31"/>
      <c r="H241" s="30"/>
      <c r="I241" s="31" t="str">
        <f>IF(F241="","",IF(F241="Tecnicatura en composición coreográfica en ddv fusión","Jime",CONCATENATE(VLOOKUP(G241,OPCIONES!D:E,2,0),VLOOKUP(H241,OPCIONES!$G$2:$H$8,2,0))))</f>
        <v/>
      </c>
      <c r="J241" s="49">
        <f t="shared" si="4"/>
        <v>15000</v>
      </c>
      <c r="K241" s="49" t="s">
        <v>91</v>
      </c>
      <c r="L241" s="49" t="s">
        <v>176</v>
      </c>
      <c r="N241" s="49" t="s">
        <v>254</v>
      </c>
    </row>
    <row r="242" spans="1:14" ht="27.9" customHeight="1" x14ac:dyDescent="0.3">
      <c r="A242" s="31"/>
      <c r="B242" s="30"/>
      <c r="C242" s="31"/>
      <c r="D242" s="31"/>
      <c r="E242" s="30"/>
      <c r="F242" s="31"/>
      <c r="G242" s="31"/>
      <c r="H242" s="30"/>
      <c r="I242" s="31" t="str">
        <f>IF(F242="","",IF(F242="Tecnicatura en composición coreográfica en ddv fusión","Jime",CONCATENATE(VLOOKUP(G242,OPCIONES!D:E,2,0),VLOOKUP(H242,OPCIONES!$G$2:$H$8,2,0))))</f>
        <v/>
      </c>
      <c r="J242" s="49">
        <f t="shared" si="4"/>
        <v>15000</v>
      </c>
      <c r="K242" s="49" t="s">
        <v>91</v>
      </c>
      <c r="L242" s="49" t="s">
        <v>176</v>
      </c>
      <c r="N242" s="49" t="s">
        <v>254</v>
      </c>
    </row>
    <row r="243" spans="1:14" ht="27.9" customHeight="1" x14ac:dyDescent="0.3">
      <c r="A243" s="31"/>
      <c r="B243" s="30"/>
      <c r="C243" s="31"/>
      <c r="D243" s="31"/>
      <c r="E243" s="30"/>
      <c r="F243" s="31"/>
      <c r="G243" s="31"/>
      <c r="H243" s="30"/>
      <c r="I243" s="31" t="str">
        <f>IF(F243="","",IF(F243="Tecnicatura en composición coreográfica en ddv fusión","Jime",CONCATENATE(VLOOKUP(G243,OPCIONES!D:E,2,0),VLOOKUP(H243,OPCIONES!$G$2:$H$8,2,0))))</f>
        <v/>
      </c>
      <c r="J243" s="49">
        <f t="shared" si="4"/>
        <v>15000</v>
      </c>
      <c r="K243" s="49" t="s">
        <v>91</v>
      </c>
      <c r="L243" s="49" t="s">
        <v>176</v>
      </c>
      <c r="N243" s="49" t="s">
        <v>254</v>
      </c>
    </row>
    <row r="244" spans="1:14" ht="27.9" customHeight="1" x14ac:dyDescent="0.3">
      <c r="A244" s="31"/>
      <c r="B244" s="30"/>
      <c r="C244" s="31"/>
      <c r="D244" s="31"/>
      <c r="E244" s="30"/>
      <c r="F244" s="31"/>
      <c r="G244" s="31"/>
      <c r="H244" s="30"/>
      <c r="I244" s="31" t="str">
        <f>IF(F244="","",IF(F244="Tecnicatura en composición coreográfica en ddv fusión","Jime",CONCATENATE(VLOOKUP(G244,OPCIONES!D:E,2,0),VLOOKUP(H244,OPCIONES!$G$2:$H$8,2,0))))</f>
        <v/>
      </c>
      <c r="J244" s="49">
        <f t="shared" si="4"/>
        <v>15000</v>
      </c>
      <c r="K244" s="49" t="s">
        <v>91</v>
      </c>
      <c r="L244" s="49" t="s">
        <v>176</v>
      </c>
      <c r="N244" s="49" t="s">
        <v>254</v>
      </c>
    </row>
    <row r="245" spans="1:14" ht="27.9" customHeight="1" x14ac:dyDescent="0.3">
      <c r="A245" s="31"/>
      <c r="B245" s="30"/>
      <c r="C245" s="31"/>
      <c r="D245" s="31"/>
      <c r="E245" s="30"/>
      <c r="F245" s="31"/>
      <c r="G245" s="31"/>
      <c r="H245" s="30"/>
      <c r="I245" s="31" t="str">
        <f>IF(F245="","",IF(F245="Tecnicatura en composición coreográfica en ddv fusión","Jime",CONCATENATE(VLOOKUP(G245,OPCIONES!D:E,2,0),VLOOKUP(H245,OPCIONES!$G$2:$H$8,2,0))))</f>
        <v/>
      </c>
      <c r="J245" s="49">
        <f t="shared" si="4"/>
        <v>15000</v>
      </c>
      <c r="K245" s="49" t="s">
        <v>91</v>
      </c>
      <c r="L245" s="49" t="s">
        <v>176</v>
      </c>
      <c r="N245" s="49" t="s">
        <v>254</v>
      </c>
    </row>
    <row r="246" spans="1:14" ht="27.9" customHeight="1" x14ac:dyDescent="0.3">
      <c r="A246" s="31"/>
      <c r="B246" s="30"/>
      <c r="C246" s="31"/>
      <c r="D246" s="31"/>
      <c r="E246" s="30"/>
      <c r="F246" s="31"/>
      <c r="G246" s="31"/>
      <c r="H246" s="30"/>
      <c r="I246" s="31" t="str">
        <f>IF(F246="","",IF(F246="Tecnicatura en composición coreográfica en ddv fusión","Jime",CONCATENATE(VLOOKUP(G246,OPCIONES!D:E,2,0),VLOOKUP(H246,OPCIONES!$G$2:$H$8,2,0))))</f>
        <v/>
      </c>
      <c r="J246" s="49">
        <f t="shared" si="4"/>
        <v>15000</v>
      </c>
      <c r="K246" s="49" t="s">
        <v>91</v>
      </c>
      <c r="L246" s="49" t="s">
        <v>176</v>
      </c>
      <c r="N246" s="49" t="s">
        <v>254</v>
      </c>
    </row>
    <row r="247" spans="1:14" ht="27.9" customHeight="1" x14ac:dyDescent="0.3">
      <c r="A247" s="31"/>
      <c r="B247" s="30"/>
      <c r="C247" s="31"/>
      <c r="D247" s="31"/>
      <c r="E247" s="30"/>
      <c r="F247" s="31"/>
      <c r="G247" s="31"/>
      <c r="H247" s="30"/>
      <c r="I247" s="31" t="str">
        <f>IF(F247="","",IF(F247="Tecnicatura en composición coreográfica en ddv fusión","Jime",CONCATENATE(VLOOKUP(G247,OPCIONES!D:E,2,0),VLOOKUP(H247,OPCIONES!$G$2:$H$8,2,0))))</f>
        <v/>
      </c>
      <c r="J247" s="49">
        <f t="shared" si="4"/>
        <v>15000</v>
      </c>
      <c r="K247" s="49" t="s">
        <v>91</v>
      </c>
      <c r="L247" s="49" t="s">
        <v>176</v>
      </c>
      <c r="N247" s="49" t="s">
        <v>254</v>
      </c>
    </row>
    <row r="248" spans="1:14" ht="27.9" customHeight="1" x14ac:dyDescent="0.3">
      <c r="A248" s="31"/>
      <c r="B248" s="30"/>
      <c r="C248" s="31"/>
      <c r="D248" s="31"/>
      <c r="E248" s="30"/>
      <c r="F248" s="31"/>
      <c r="G248" s="31"/>
      <c r="H248" s="30"/>
      <c r="I248" s="31" t="str">
        <f>IF(F248="","",IF(F248="Tecnicatura en composición coreográfica en ddv fusión","Jime",CONCATENATE(VLOOKUP(G248,OPCIONES!D:E,2,0),VLOOKUP(H248,OPCIONES!$G$2:$H$8,2,0))))</f>
        <v/>
      </c>
      <c r="J248" s="49">
        <f t="shared" si="4"/>
        <v>15000</v>
      </c>
      <c r="K248" s="49" t="s">
        <v>91</v>
      </c>
      <c r="L248" s="49" t="s">
        <v>176</v>
      </c>
      <c r="N248" s="49" t="s">
        <v>254</v>
      </c>
    </row>
    <row r="249" spans="1:14" ht="27.9" customHeight="1" x14ac:dyDescent="0.3">
      <c r="A249" s="31"/>
      <c r="B249" s="30"/>
      <c r="C249" s="31"/>
      <c r="D249" s="31"/>
      <c r="E249" s="30"/>
      <c r="F249" s="31"/>
      <c r="G249" s="31"/>
      <c r="H249" s="30"/>
      <c r="I249" s="31" t="str">
        <f>IF(F249="","",IF(F249="Tecnicatura en composición coreográfica en ddv fusión","Jime",CONCATENATE(VLOOKUP(G249,OPCIONES!D:E,2,0),VLOOKUP(H249,OPCIONES!$G$2:$H$8,2,0))))</f>
        <v/>
      </c>
      <c r="J249" s="49">
        <f t="shared" si="4"/>
        <v>15000</v>
      </c>
      <c r="K249" s="49" t="s">
        <v>91</v>
      </c>
      <c r="L249" s="49" t="s">
        <v>176</v>
      </c>
      <c r="N249" s="49" t="s">
        <v>254</v>
      </c>
    </row>
    <row r="250" spans="1:14" ht="27.9" customHeight="1" x14ac:dyDescent="0.3">
      <c r="A250" s="31"/>
      <c r="B250" s="30"/>
      <c r="C250" s="31"/>
      <c r="D250" s="31"/>
      <c r="E250" s="30"/>
      <c r="F250" s="31"/>
      <c r="G250" s="31"/>
      <c r="H250" s="30"/>
      <c r="I250" s="31" t="str">
        <f>IF(F250="","",IF(F250="Tecnicatura en composición coreográfica en ddv fusión","Jime",CONCATENATE(VLOOKUP(G250,OPCIONES!D:E,2,0),VLOOKUP(H250,OPCIONES!$G$2:$H$8,2,0))))</f>
        <v/>
      </c>
      <c r="J250" s="49">
        <f t="shared" si="4"/>
        <v>15000</v>
      </c>
      <c r="K250" s="49" t="s">
        <v>91</v>
      </c>
      <c r="L250" s="49" t="s">
        <v>176</v>
      </c>
      <c r="N250" s="49" t="s">
        <v>254</v>
      </c>
    </row>
    <row r="251" spans="1:14" ht="27.9" customHeight="1" x14ac:dyDescent="0.3">
      <c r="A251" s="31"/>
      <c r="B251" s="30"/>
      <c r="C251" s="31"/>
      <c r="D251" s="31"/>
      <c r="E251" s="30"/>
      <c r="F251" s="31"/>
      <c r="G251" s="31"/>
      <c r="H251" s="30"/>
      <c r="I251" s="31" t="str">
        <f>IF(F251="","",IF(F251="Tecnicatura en composición coreográfica en ddv fusión","Jime",CONCATENATE(VLOOKUP(G251,OPCIONES!D:E,2,0),VLOOKUP(H251,OPCIONES!$G$2:$H$8,2,0))))</f>
        <v/>
      </c>
      <c r="J251" s="49">
        <f t="shared" si="4"/>
        <v>15000</v>
      </c>
      <c r="K251" s="49" t="s">
        <v>91</v>
      </c>
      <c r="L251" s="49" t="s">
        <v>176</v>
      </c>
      <c r="N251" s="49" t="s">
        <v>254</v>
      </c>
    </row>
    <row r="252" spans="1:14" ht="27.9" customHeight="1" x14ac:dyDescent="0.3">
      <c r="A252" s="31"/>
      <c r="B252" s="30"/>
      <c r="C252" s="31"/>
      <c r="D252" s="31"/>
      <c r="E252" s="30"/>
      <c r="F252" s="31"/>
      <c r="G252" s="31"/>
      <c r="H252" s="30"/>
      <c r="I252" s="31" t="str">
        <f>IF(F252="","",IF(F252="Tecnicatura en composición coreográfica en ddv fusión","Jime",CONCATENATE(VLOOKUP(G252,OPCIONES!D:E,2,0),VLOOKUP(H252,OPCIONES!$G$2:$H$8,2,0))))</f>
        <v/>
      </c>
      <c r="J252" s="49">
        <f t="shared" si="4"/>
        <v>15000</v>
      </c>
      <c r="K252" s="49" t="s">
        <v>91</v>
      </c>
      <c r="L252" s="49" t="s">
        <v>176</v>
      </c>
      <c r="N252" s="49" t="s">
        <v>254</v>
      </c>
    </row>
    <row r="253" spans="1:14" ht="27.9" customHeight="1" x14ac:dyDescent="0.3">
      <c r="A253" s="31"/>
      <c r="B253" s="30"/>
      <c r="C253" s="31"/>
      <c r="D253" s="31"/>
      <c r="E253" s="30"/>
      <c r="F253" s="31"/>
      <c r="G253" s="31"/>
      <c r="H253" s="30"/>
      <c r="I253" s="31" t="str">
        <f>IF(F253="","",IF(F253="Tecnicatura en composición coreográfica en ddv fusión","Jime",CONCATENATE(VLOOKUP(G253,OPCIONES!D:E,2,0),VLOOKUP(H253,OPCIONES!$G$2:$H$8,2,0))))</f>
        <v/>
      </c>
      <c r="J253" s="49">
        <f t="shared" si="4"/>
        <v>15000</v>
      </c>
      <c r="K253" s="49" t="s">
        <v>91</v>
      </c>
      <c r="L253" s="49" t="s">
        <v>176</v>
      </c>
      <c r="N253" s="49" t="s">
        <v>254</v>
      </c>
    </row>
    <row r="254" spans="1:14" ht="27.9" customHeight="1" x14ac:dyDescent="0.3">
      <c r="A254" s="31"/>
      <c r="B254" s="30"/>
      <c r="C254" s="31"/>
      <c r="D254" s="31"/>
      <c r="E254" s="30"/>
      <c r="F254" s="31"/>
      <c r="G254" s="31"/>
      <c r="H254" s="30"/>
      <c r="I254" s="31" t="str">
        <f>IF(F254="","",IF(F254="Tecnicatura en composición coreográfica en ddv fusión","Jime",CONCATENATE(VLOOKUP(G254,OPCIONES!D:E,2,0),VLOOKUP(H254,OPCIONES!$G$2:$H$8,2,0))))</f>
        <v/>
      </c>
      <c r="J254" s="49">
        <f t="shared" si="4"/>
        <v>15000</v>
      </c>
      <c r="K254" s="49" t="s">
        <v>91</v>
      </c>
      <c r="L254" s="49" t="s">
        <v>176</v>
      </c>
      <c r="N254" s="49" t="s">
        <v>254</v>
      </c>
    </row>
    <row r="255" spans="1:14" ht="27.9" customHeight="1" x14ac:dyDescent="0.3">
      <c r="A255" s="31"/>
      <c r="B255" s="30"/>
      <c r="C255" s="31"/>
      <c r="D255" s="31"/>
      <c r="E255" s="30"/>
      <c r="F255" s="31"/>
      <c r="G255" s="31"/>
      <c r="H255" s="30"/>
      <c r="I255" s="31" t="str">
        <f>IF(F255="","",IF(F255="Tecnicatura en composición coreográfica en ddv fusión","Jime",CONCATENATE(VLOOKUP(G255,OPCIONES!D:E,2,0),VLOOKUP(H255,OPCIONES!$G$2:$H$8,2,0))))</f>
        <v/>
      </c>
      <c r="J255" s="49">
        <f t="shared" si="4"/>
        <v>15000</v>
      </c>
      <c r="K255" s="49" t="s">
        <v>91</v>
      </c>
      <c r="L255" s="49" t="s">
        <v>176</v>
      </c>
      <c r="N255" s="49" t="s">
        <v>254</v>
      </c>
    </row>
    <row r="256" spans="1:14" ht="27.9" customHeight="1" x14ac:dyDescent="0.3">
      <c r="A256" s="31"/>
      <c r="B256" s="30"/>
      <c r="C256" s="31"/>
      <c r="D256" s="31"/>
      <c r="E256" s="30"/>
      <c r="F256" s="31"/>
      <c r="G256" s="31"/>
      <c r="H256" s="30"/>
      <c r="I256" s="31" t="str">
        <f>IF(F256="","",IF(F256="Tecnicatura en composición coreográfica en ddv fusión","Jime",CONCATENATE(VLOOKUP(G256,OPCIONES!D:E,2,0),VLOOKUP(H256,OPCIONES!$G$2:$H$8,2,0))))</f>
        <v/>
      </c>
      <c r="J256" s="49">
        <f t="shared" si="4"/>
        <v>15000</v>
      </c>
      <c r="K256" s="49" t="s">
        <v>91</v>
      </c>
      <c r="L256" s="49" t="s">
        <v>176</v>
      </c>
      <c r="N256" s="49" t="s">
        <v>254</v>
      </c>
    </row>
    <row r="257" spans="1:14" ht="27.9" customHeight="1" x14ac:dyDescent="0.3">
      <c r="A257" s="31"/>
      <c r="B257" s="30"/>
      <c r="C257" s="31"/>
      <c r="D257" s="31"/>
      <c r="E257" s="30"/>
      <c r="F257" s="31"/>
      <c r="G257" s="31"/>
      <c r="H257" s="30"/>
      <c r="I257" s="31" t="str">
        <f>IF(F257="","",IF(F257="Tecnicatura en composición coreográfica en ddv fusión","Jime",CONCATENATE(VLOOKUP(G257,OPCIONES!D:E,2,0),VLOOKUP(H257,OPCIONES!$G$2:$H$8,2,0))))</f>
        <v/>
      </c>
      <c r="J257" s="49">
        <f t="shared" si="4"/>
        <v>15000</v>
      </c>
      <c r="K257" s="49" t="s">
        <v>91</v>
      </c>
      <c r="L257" s="49" t="s">
        <v>176</v>
      </c>
      <c r="N257" s="49" t="s">
        <v>254</v>
      </c>
    </row>
    <row r="258" spans="1:14" ht="27.9" customHeight="1" x14ac:dyDescent="0.3">
      <c r="A258" s="31"/>
      <c r="B258" s="30"/>
      <c r="C258" s="31"/>
      <c r="D258" s="31"/>
      <c r="E258" s="30"/>
      <c r="F258" s="31"/>
      <c r="G258" s="31"/>
      <c r="H258" s="30"/>
      <c r="I258" s="31" t="str">
        <f>IF(F258="","",IF(F258="Tecnicatura en composición coreográfica en ddv fusión","Jime",CONCATENATE(VLOOKUP(G258,OPCIONES!D:E,2,0),VLOOKUP(H258,OPCIONES!$G$2:$H$8,2,0))))</f>
        <v/>
      </c>
      <c r="J258" s="49">
        <f t="shared" si="4"/>
        <v>15000</v>
      </c>
      <c r="K258" s="49" t="s">
        <v>91</v>
      </c>
      <c r="L258" s="49" t="s">
        <v>176</v>
      </c>
      <c r="N258" s="49" t="s">
        <v>254</v>
      </c>
    </row>
    <row r="259" spans="1:14" ht="27.9" customHeight="1" x14ac:dyDescent="0.3">
      <c r="A259" s="31"/>
      <c r="B259" s="30"/>
      <c r="C259" s="31"/>
      <c r="D259" s="31"/>
      <c r="E259" s="30"/>
      <c r="F259" s="31"/>
      <c r="G259" s="31"/>
      <c r="H259" s="30"/>
      <c r="I259" s="31" t="str">
        <f>IF(F259="","",IF(F259="Tecnicatura en composición coreográfica en ddv fusión","Jime",CONCATENATE(VLOOKUP(G259,OPCIONES!D:E,2,0),VLOOKUP(H259,OPCIONES!$G$2:$H$8,2,0))))</f>
        <v/>
      </c>
      <c r="J259" s="49">
        <f t="shared" si="4"/>
        <v>15000</v>
      </c>
      <c r="K259" s="49" t="s">
        <v>91</v>
      </c>
      <c r="L259" s="49" t="s">
        <v>176</v>
      </c>
      <c r="N259" s="49" t="s">
        <v>254</v>
      </c>
    </row>
    <row r="260" spans="1:14" ht="27.9" customHeight="1" x14ac:dyDescent="0.3">
      <c r="A260" s="31"/>
      <c r="B260" s="30"/>
      <c r="C260" s="31"/>
      <c r="D260" s="31"/>
      <c r="E260" s="30"/>
      <c r="F260" s="31"/>
      <c r="G260" s="31"/>
      <c r="H260" s="30"/>
      <c r="I260" s="31" t="str">
        <f>IF(F260="","",IF(F260="Tecnicatura en composición coreográfica en ddv fusión","Jime",CONCATENATE(VLOOKUP(G260,OPCIONES!D:E,2,0),VLOOKUP(H260,OPCIONES!$G$2:$H$8,2,0))))</f>
        <v/>
      </c>
      <c r="J260" s="49">
        <f t="shared" si="4"/>
        <v>15000</v>
      </c>
      <c r="K260" s="49" t="s">
        <v>91</v>
      </c>
      <c r="L260" s="49" t="s">
        <v>176</v>
      </c>
      <c r="N260" s="49" t="s">
        <v>254</v>
      </c>
    </row>
    <row r="261" spans="1:14" ht="27.9" customHeight="1" x14ac:dyDescent="0.3">
      <c r="A261" s="31"/>
      <c r="B261" s="30"/>
      <c r="C261" s="31"/>
      <c r="D261" s="31"/>
      <c r="E261" s="30"/>
      <c r="F261" s="31"/>
      <c r="G261" s="31"/>
      <c r="H261" s="30"/>
      <c r="I261" s="31" t="str">
        <f>IF(F261="","",IF(F261="Tecnicatura en composición coreográfica en ddv fusión","Jime",CONCATENATE(VLOOKUP(G261,OPCIONES!D:E,2,0),VLOOKUP(H261,OPCIONES!$G$2:$H$8,2,0))))</f>
        <v/>
      </c>
      <c r="J261" s="49">
        <f t="shared" si="4"/>
        <v>15000</v>
      </c>
      <c r="K261" s="49" t="s">
        <v>91</v>
      </c>
      <c r="L261" s="49" t="s">
        <v>176</v>
      </c>
      <c r="N261" s="49" t="s">
        <v>254</v>
      </c>
    </row>
    <row r="262" spans="1:14" ht="27.9" customHeight="1" x14ac:dyDescent="0.3">
      <c r="A262" s="31"/>
      <c r="B262" s="30"/>
      <c r="C262" s="31"/>
      <c r="D262" s="31"/>
      <c r="E262" s="30"/>
      <c r="F262" s="31"/>
      <c r="G262" s="31"/>
      <c r="H262" s="30"/>
      <c r="I262" s="31" t="str">
        <f>IF(F262="","",IF(F262="Tecnicatura en composición coreográfica en ddv fusión","Jime",CONCATENATE(VLOOKUP(G262,OPCIONES!D:E,2,0),VLOOKUP(H262,OPCIONES!$G$2:$H$8,2,0))))</f>
        <v/>
      </c>
      <c r="J262" s="49">
        <f t="shared" ref="J262:J325" si="5">$I$1</f>
        <v>15000</v>
      </c>
      <c r="K262" s="49" t="s">
        <v>91</v>
      </c>
      <c r="L262" s="49" t="s">
        <v>176</v>
      </c>
      <c r="N262" s="49" t="s">
        <v>254</v>
      </c>
    </row>
    <row r="263" spans="1:14" ht="27.9" customHeight="1" x14ac:dyDescent="0.3">
      <c r="A263" s="31"/>
      <c r="B263" s="30"/>
      <c r="C263" s="31"/>
      <c r="D263" s="31"/>
      <c r="E263" s="30"/>
      <c r="F263" s="31"/>
      <c r="G263" s="31"/>
      <c r="H263" s="30"/>
      <c r="I263" s="31" t="str">
        <f>IF(F263="","",IF(F263="Tecnicatura en composición coreográfica en ddv fusión","Jime",CONCATENATE(VLOOKUP(G263,OPCIONES!D:E,2,0),VLOOKUP(H263,OPCIONES!$G$2:$H$8,2,0))))</f>
        <v/>
      </c>
      <c r="J263" s="49">
        <f t="shared" si="5"/>
        <v>15000</v>
      </c>
      <c r="K263" s="49" t="s">
        <v>91</v>
      </c>
      <c r="L263" s="49" t="s">
        <v>176</v>
      </c>
      <c r="N263" s="49" t="s">
        <v>254</v>
      </c>
    </row>
    <row r="264" spans="1:14" ht="27.9" customHeight="1" x14ac:dyDescent="0.3">
      <c r="A264" s="31"/>
      <c r="B264" s="30"/>
      <c r="C264" s="31"/>
      <c r="D264" s="31"/>
      <c r="E264" s="30"/>
      <c r="F264" s="31"/>
      <c r="G264" s="31"/>
      <c r="H264" s="30"/>
      <c r="I264" s="31" t="str">
        <f>IF(F264="","",IF(F264="Tecnicatura en composición coreográfica en ddv fusión","Jime",CONCATENATE(VLOOKUP(G264,OPCIONES!D:E,2,0),VLOOKUP(H264,OPCIONES!$G$2:$H$8,2,0))))</f>
        <v/>
      </c>
      <c r="J264" s="49">
        <f t="shared" si="5"/>
        <v>15000</v>
      </c>
      <c r="K264" s="49" t="s">
        <v>91</v>
      </c>
      <c r="L264" s="49" t="s">
        <v>176</v>
      </c>
      <c r="N264" s="49" t="s">
        <v>254</v>
      </c>
    </row>
    <row r="265" spans="1:14" ht="27.9" customHeight="1" x14ac:dyDescent="0.3">
      <c r="A265" s="31"/>
      <c r="B265" s="30"/>
      <c r="C265" s="31"/>
      <c r="D265" s="31"/>
      <c r="E265" s="30"/>
      <c r="F265" s="31"/>
      <c r="G265" s="31"/>
      <c r="H265" s="30"/>
      <c r="I265" s="31" t="str">
        <f>IF(F265="","",IF(F265="Tecnicatura en composición coreográfica en ddv fusión","Jime",CONCATENATE(VLOOKUP(G265,OPCIONES!D:E,2,0),VLOOKUP(H265,OPCIONES!$G$2:$H$8,2,0))))</f>
        <v/>
      </c>
      <c r="J265" s="49">
        <f t="shared" si="5"/>
        <v>15000</v>
      </c>
      <c r="K265" s="49" t="s">
        <v>91</v>
      </c>
      <c r="L265" s="49" t="s">
        <v>176</v>
      </c>
      <c r="N265" s="49" t="s">
        <v>254</v>
      </c>
    </row>
    <row r="266" spans="1:14" ht="27.9" customHeight="1" x14ac:dyDescent="0.3">
      <c r="A266" s="31"/>
      <c r="B266" s="30"/>
      <c r="C266" s="31"/>
      <c r="D266" s="31"/>
      <c r="E266" s="30"/>
      <c r="F266" s="31"/>
      <c r="G266" s="31"/>
      <c r="H266" s="30"/>
      <c r="I266" s="31" t="str">
        <f>IF(F266="","",IF(F266="Tecnicatura en composición coreográfica en ddv fusión","Jime",CONCATENATE(VLOOKUP(G266,OPCIONES!D:E,2,0),VLOOKUP(H266,OPCIONES!$G$2:$H$8,2,0))))</f>
        <v/>
      </c>
      <c r="J266" s="49">
        <f t="shared" si="5"/>
        <v>15000</v>
      </c>
      <c r="K266" s="49" t="s">
        <v>91</v>
      </c>
      <c r="L266" s="49" t="s">
        <v>176</v>
      </c>
      <c r="N266" s="49" t="s">
        <v>254</v>
      </c>
    </row>
    <row r="267" spans="1:14" ht="27.9" customHeight="1" x14ac:dyDescent="0.3">
      <c r="A267" s="31"/>
      <c r="B267" s="30"/>
      <c r="C267" s="31"/>
      <c r="D267" s="31"/>
      <c r="E267" s="30"/>
      <c r="F267" s="31"/>
      <c r="G267" s="31"/>
      <c r="H267" s="30"/>
      <c r="I267" s="31" t="str">
        <f>IF(F267="","",IF(F267="Tecnicatura en composición coreográfica en ddv fusión","Jime",CONCATENATE(VLOOKUP(G267,OPCIONES!D:E,2,0),VLOOKUP(H267,OPCIONES!$G$2:$H$8,2,0))))</f>
        <v/>
      </c>
      <c r="J267" s="49">
        <f t="shared" si="5"/>
        <v>15000</v>
      </c>
      <c r="K267" s="49" t="s">
        <v>91</v>
      </c>
      <c r="L267" s="49" t="s">
        <v>176</v>
      </c>
      <c r="N267" s="49" t="s">
        <v>254</v>
      </c>
    </row>
    <row r="268" spans="1:14" ht="27.9" customHeight="1" x14ac:dyDescent="0.3">
      <c r="A268" s="31"/>
      <c r="B268" s="30"/>
      <c r="C268" s="31"/>
      <c r="D268" s="31"/>
      <c r="E268" s="30"/>
      <c r="F268" s="31"/>
      <c r="G268" s="31"/>
      <c r="H268" s="30"/>
      <c r="I268" s="31" t="str">
        <f>IF(F268="","",IF(F268="Tecnicatura en composición coreográfica en ddv fusión","Jime",CONCATENATE(VLOOKUP(G268,OPCIONES!D:E,2,0),VLOOKUP(H268,OPCIONES!$G$2:$H$8,2,0))))</f>
        <v/>
      </c>
      <c r="J268" s="49">
        <f t="shared" si="5"/>
        <v>15000</v>
      </c>
      <c r="K268" s="49" t="s">
        <v>91</v>
      </c>
      <c r="L268" s="49" t="s">
        <v>176</v>
      </c>
      <c r="N268" s="49" t="s">
        <v>254</v>
      </c>
    </row>
    <row r="269" spans="1:14" ht="27.9" customHeight="1" x14ac:dyDescent="0.3">
      <c r="A269" s="31"/>
      <c r="B269" s="30"/>
      <c r="C269" s="31"/>
      <c r="D269" s="31"/>
      <c r="E269" s="30"/>
      <c r="F269" s="31"/>
      <c r="G269" s="31"/>
      <c r="H269" s="30"/>
      <c r="I269" s="31" t="str">
        <f>IF(F269="","",IF(F269="Tecnicatura en composición coreográfica en ddv fusión","Jime",CONCATENATE(VLOOKUP(G269,OPCIONES!D:E,2,0),VLOOKUP(H269,OPCIONES!$G$2:$H$8,2,0))))</f>
        <v/>
      </c>
      <c r="J269" s="49">
        <f t="shared" si="5"/>
        <v>15000</v>
      </c>
      <c r="K269" s="49" t="s">
        <v>91</v>
      </c>
      <c r="L269" s="49" t="s">
        <v>176</v>
      </c>
      <c r="N269" s="49" t="s">
        <v>254</v>
      </c>
    </row>
    <row r="270" spans="1:14" ht="27.9" customHeight="1" x14ac:dyDescent="0.3">
      <c r="A270" s="31"/>
      <c r="B270" s="30"/>
      <c r="C270" s="31"/>
      <c r="D270" s="31"/>
      <c r="E270" s="30"/>
      <c r="F270" s="31"/>
      <c r="G270" s="31"/>
      <c r="H270" s="30"/>
      <c r="I270" s="31" t="str">
        <f>IF(F270="","",IF(F270="Tecnicatura en composición coreográfica en ddv fusión","Jime",CONCATENATE(VLOOKUP(G270,OPCIONES!D:E,2,0),VLOOKUP(H270,OPCIONES!$G$2:$H$8,2,0))))</f>
        <v/>
      </c>
      <c r="J270" s="49">
        <f t="shared" si="5"/>
        <v>15000</v>
      </c>
      <c r="K270" s="49" t="s">
        <v>91</v>
      </c>
      <c r="L270" s="49" t="s">
        <v>176</v>
      </c>
      <c r="N270" s="49" t="s">
        <v>254</v>
      </c>
    </row>
    <row r="271" spans="1:14" ht="27.9" customHeight="1" x14ac:dyDescent="0.3">
      <c r="A271" s="31"/>
      <c r="B271" s="30"/>
      <c r="C271" s="31"/>
      <c r="D271" s="31"/>
      <c r="E271" s="30"/>
      <c r="F271" s="31"/>
      <c r="G271" s="31"/>
      <c r="H271" s="30"/>
      <c r="I271" s="31" t="str">
        <f>IF(F271="","",IF(F271="Tecnicatura en composición coreográfica en ddv fusión","Jime",CONCATENATE(VLOOKUP(G271,OPCIONES!D:E,2,0),VLOOKUP(H271,OPCIONES!$G$2:$H$8,2,0))))</f>
        <v/>
      </c>
      <c r="J271" s="49">
        <f t="shared" si="5"/>
        <v>15000</v>
      </c>
      <c r="K271" s="49" t="s">
        <v>91</v>
      </c>
      <c r="L271" s="49" t="s">
        <v>176</v>
      </c>
      <c r="N271" s="49" t="s">
        <v>254</v>
      </c>
    </row>
    <row r="272" spans="1:14" ht="27.9" customHeight="1" x14ac:dyDescent="0.3">
      <c r="A272" s="31"/>
      <c r="B272" s="30"/>
      <c r="C272" s="31"/>
      <c r="D272" s="31"/>
      <c r="E272" s="30"/>
      <c r="F272" s="31"/>
      <c r="G272" s="31"/>
      <c r="H272" s="30"/>
      <c r="I272" s="31" t="str">
        <f>IF(F272="","",IF(F272="Tecnicatura en composición coreográfica en ddv fusión","Jime",CONCATENATE(VLOOKUP(G272,OPCIONES!D:E,2,0),VLOOKUP(H272,OPCIONES!$G$2:$H$8,2,0))))</f>
        <v/>
      </c>
      <c r="J272" s="49">
        <f t="shared" si="5"/>
        <v>15000</v>
      </c>
      <c r="K272" s="49" t="s">
        <v>91</v>
      </c>
      <c r="L272" s="49" t="s">
        <v>176</v>
      </c>
      <c r="N272" s="49" t="s">
        <v>254</v>
      </c>
    </row>
    <row r="273" spans="1:14" ht="27.9" customHeight="1" x14ac:dyDescent="0.3">
      <c r="A273" s="31"/>
      <c r="B273" s="30"/>
      <c r="C273" s="31"/>
      <c r="D273" s="31"/>
      <c r="E273" s="30"/>
      <c r="F273" s="31"/>
      <c r="G273" s="31"/>
      <c r="H273" s="30"/>
      <c r="I273" s="31" t="str">
        <f>IF(F273="","",IF(F273="Tecnicatura en composición coreográfica en ddv fusión","Jime",CONCATENATE(VLOOKUP(G273,OPCIONES!D:E,2,0),VLOOKUP(H273,OPCIONES!$G$2:$H$8,2,0))))</f>
        <v/>
      </c>
      <c r="J273" s="49">
        <f t="shared" si="5"/>
        <v>15000</v>
      </c>
      <c r="K273" s="49" t="s">
        <v>91</v>
      </c>
      <c r="L273" s="49" t="s">
        <v>176</v>
      </c>
      <c r="N273" s="49" t="s">
        <v>254</v>
      </c>
    </row>
    <row r="274" spans="1:14" ht="27.9" customHeight="1" x14ac:dyDescent="0.3">
      <c r="A274" s="31"/>
      <c r="B274" s="30"/>
      <c r="C274" s="31"/>
      <c r="D274" s="31"/>
      <c r="E274" s="30"/>
      <c r="F274" s="31"/>
      <c r="G274" s="31"/>
      <c r="H274" s="30"/>
      <c r="I274" s="31" t="str">
        <f>IF(F274="","",IF(F274="Tecnicatura en composición coreográfica en ddv fusión","Jime",CONCATENATE(VLOOKUP(G274,OPCIONES!D:E,2,0),VLOOKUP(H274,OPCIONES!$G$2:$H$8,2,0))))</f>
        <v/>
      </c>
      <c r="J274" s="49">
        <f t="shared" si="5"/>
        <v>15000</v>
      </c>
      <c r="K274" s="49" t="s">
        <v>91</v>
      </c>
      <c r="L274" s="49" t="s">
        <v>176</v>
      </c>
      <c r="N274" s="49" t="s">
        <v>254</v>
      </c>
    </row>
    <row r="275" spans="1:14" ht="27.9" customHeight="1" x14ac:dyDescent="0.3">
      <c r="A275" s="31"/>
      <c r="B275" s="30"/>
      <c r="C275" s="31"/>
      <c r="D275" s="31"/>
      <c r="E275" s="30"/>
      <c r="F275" s="31"/>
      <c r="G275" s="31"/>
      <c r="H275" s="30"/>
      <c r="I275" s="31" t="str">
        <f>IF(F275="","",IF(F275="Tecnicatura en composición coreográfica en ddv fusión","Jime",CONCATENATE(VLOOKUP(G275,OPCIONES!D:E,2,0),VLOOKUP(H275,OPCIONES!$G$2:$H$8,2,0))))</f>
        <v/>
      </c>
      <c r="J275" s="49">
        <f t="shared" si="5"/>
        <v>15000</v>
      </c>
      <c r="K275" s="49" t="s">
        <v>91</v>
      </c>
      <c r="L275" s="49" t="s">
        <v>176</v>
      </c>
      <c r="N275" s="49" t="s">
        <v>254</v>
      </c>
    </row>
    <row r="276" spans="1:14" ht="27.9" customHeight="1" x14ac:dyDescent="0.3">
      <c r="A276" s="31"/>
      <c r="B276" s="30"/>
      <c r="C276" s="31"/>
      <c r="D276" s="31"/>
      <c r="E276" s="30"/>
      <c r="F276" s="31"/>
      <c r="G276" s="31"/>
      <c r="H276" s="30"/>
      <c r="I276" s="31" t="str">
        <f>IF(F276="","",IF(F276="Tecnicatura en composición coreográfica en ddv fusión","Jime",CONCATENATE(VLOOKUP(G276,OPCIONES!D:E,2,0),VLOOKUP(H276,OPCIONES!$G$2:$H$8,2,0))))</f>
        <v/>
      </c>
      <c r="J276" s="49">
        <f t="shared" si="5"/>
        <v>15000</v>
      </c>
      <c r="K276" s="49" t="s">
        <v>91</v>
      </c>
      <c r="L276" s="49" t="s">
        <v>176</v>
      </c>
      <c r="N276" s="49" t="s">
        <v>254</v>
      </c>
    </row>
    <row r="277" spans="1:14" ht="27.9" customHeight="1" x14ac:dyDescent="0.3">
      <c r="A277" s="31"/>
      <c r="B277" s="30"/>
      <c r="C277" s="31"/>
      <c r="D277" s="31"/>
      <c r="E277" s="30"/>
      <c r="F277" s="31"/>
      <c r="G277" s="31"/>
      <c r="H277" s="30"/>
      <c r="I277" s="31" t="str">
        <f>IF(F277="","",IF(F277="Tecnicatura en composición coreográfica en ddv fusión","Jime",CONCATENATE(VLOOKUP(G277,OPCIONES!D:E,2,0),VLOOKUP(H277,OPCIONES!$G$2:$H$8,2,0))))</f>
        <v/>
      </c>
      <c r="J277" s="49">
        <f t="shared" si="5"/>
        <v>15000</v>
      </c>
      <c r="K277" s="49" t="s">
        <v>91</v>
      </c>
      <c r="L277" s="49" t="s">
        <v>176</v>
      </c>
      <c r="N277" s="49" t="s">
        <v>254</v>
      </c>
    </row>
    <row r="278" spans="1:14" ht="27.9" customHeight="1" x14ac:dyDescent="0.3">
      <c r="A278" s="31"/>
      <c r="B278" s="30"/>
      <c r="C278" s="31"/>
      <c r="D278" s="31"/>
      <c r="E278" s="30"/>
      <c r="F278" s="31"/>
      <c r="G278" s="31"/>
      <c r="H278" s="30"/>
      <c r="I278" s="31" t="str">
        <f>IF(F278="","",IF(F278="Tecnicatura en composición coreográfica en ddv fusión","Jime",CONCATENATE(VLOOKUP(G278,OPCIONES!D:E,2,0),VLOOKUP(H278,OPCIONES!$G$2:$H$8,2,0))))</f>
        <v/>
      </c>
      <c r="J278" s="49">
        <f t="shared" si="5"/>
        <v>15000</v>
      </c>
      <c r="K278" s="49" t="s">
        <v>91</v>
      </c>
      <c r="L278" s="49" t="s">
        <v>176</v>
      </c>
      <c r="N278" s="49" t="s">
        <v>254</v>
      </c>
    </row>
    <row r="279" spans="1:14" ht="27.9" customHeight="1" x14ac:dyDescent="0.3">
      <c r="A279" s="31"/>
      <c r="B279" s="30"/>
      <c r="C279" s="31"/>
      <c r="D279" s="31"/>
      <c r="E279" s="30"/>
      <c r="F279" s="31"/>
      <c r="G279" s="31"/>
      <c r="H279" s="30"/>
      <c r="I279" s="31" t="str">
        <f>IF(F279="","",IF(F279="Tecnicatura en composición coreográfica en ddv fusión","Jime",CONCATENATE(VLOOKUP(G279,OPCIONES!D:E,2,0),VLOOKUP(H279,OPCIONES!$G$2:$H$8,2,0))))</f>
        <v/>
      </c>
      <c r="J279" s="49">
        <f t="shared" si="5"/>
        <v>15000</v>
      </c>
      <c r="K279" s="49" t="s">
        <v>91</v>
      </c>
      <c r="L279" s="49" t="s">
        <v>176</v>
      </c>
      <c r="N279" s="49" t="s">
        <v>254</v>
      </c>
    </row>
    <row r="280" spans="1:14" ht="27.9" customHeight="1" x14ac:dyDescent="0.3">
      <c r="A280" s="31"/>
      <c r="B280" s="30"/>
      <c r="C280" s="31"/>
      <c r="D280" s="31"/>
      <c r="E280" s="30"/>
      <c r="F280" s="31"/>
      <c r="G280" s="31"/>
      <c r="H280" s="30"/>
      <c r="I280" s="31" t="str">
        <f>IF(F280="","",IF(F280="Tecnicatura en composición coreográfica en ddv fusión","Jime",CONCATENATE(VLOOKUP(G280,OPCIONES!D:E,2,0),VLOOKUP(H280,OPCIONES!$G$2:$H$8,2,0))))</f>
        <v/>
      </c>
      <c r="J280" s="49">
        <f t="shared" si="5"/>
        <v>15000</v>
      </c>
      <c r="K280" s="49" t="s">
        <v>91</v>
      </c>
      <c r="L280" s="49" t="s">
        <v>176</v>
      </c>
      <c r="N280" s="49" t="s">
        <v>254</v>
      </c>
    </row>
    <row r="281" spans="1:14" ht="27.9" customHeight="1" x14ac:dyDescent="0.3">
      <c r="A281" s="31"/>
      <c r="B281" s="30"/>
      <c r="C281" s="31"/>
      <c r="D281" s="31"/>
      <c r="E281" s="30"/>
      <c r="F281" s="31"/>
      <c r="G281" s="31"/>
      <c r="H281" s="30"/>
      <c r="I281" s="31" t="str">
        <f>IF(F281="","",IF(F281="Tecnicatura en composición coreográfica en ddv fusión","Jime",CONCATENATE(VLOOKUP(G281,OPCIONES!D:E,2,0),VLOOKUP(H281,OPCIONES!$G$2:$H$8,2,0))))</f>
        <v/>
      </c>
      <c r="J281" s="49">
        <f t="shared" si="5"/>
        <v>15000</v>
      </c>
      <c r="K281" s="49" t="s">
        <v>91</v>
      </c>
      <c r="L281" s="49" t="s">
        <v>176</v>
      </c>
      <c r="N281" s="49" t="s">
        <v>254</v>
      </c>
    </row>
    <row r="282" spans="1:14" ht="27.9" customHeight="1" x14ac:dyDescent="0.3">
      <c r="A282" s="31"/>
      <c r="B282" s="30"/>
      <c r="C282" s="31"/>
      <c r="D282" s="31"/>
      <c r="E282" s="30"/>
      <c r="F282" s="31"/>
      <c r="G282" s="31"/>
      <c r="H282" s="30"/>
      <c r="I282" s="31" t="str">
        <f>IF(F282="","",IF(F282="Tecnicatura en composición coreográfica en ddv fusión","Jime",CONCATENATE(VLOOKUP(G282,OPCIONES!D:E,2,0),VLOOKUP(H282,OPCIONES!$G$2:$H$8,2,0))))</f>
        <v/>
      </c>
      <c r="J282" s="49">
        <f t="shared" si="5"/>
        <v>15000</v>
      </c>
      <c r="K282" s="49" t="s">
        <v>91</v>
      </c>
      <c r="L282" s="49" t="s">
        <v>176</v>
      </c>
      <c r="N282" s="49" t="s">
        <v>254</v>
      </c>
    </row>
    <row r="283" spans="1:14" ht="27.9" customHeight="1" x14ac:dyDescent="0.3">
      <c r="A283" s="31"/>
      <c r="B283" s="30"/>
      <c r="C283" s="31"/>
      <c r="D283" s="31"/>
      <c r="E283" s="30"/>
      <c r="F283" s="31"/>
      <c r="G283" s="31"/>
      <c r="H283" s="30"/>
      <c r="I283" s="31" t="str">
        <f>IF(F283="","",IF(F283="Tecnicatura en composición coreográfica en ddv fusión","Jime",CONCATENATE(VLOOKUP(G283,OPCIONES!D:E,2,0),VLOOKUP(H283,OPCIONES!$G$2:$H$8,2,0))))</f>
        <v/>
      </c>
      <c r="J283" s="49">
        <f t="shared" si="5"/>
        <v>15000</v>
      </c>
      <c r="K283" s="49" t="s">
        <v>91</v>
      </c>
      <c r="L283" s="49" t="s">
        <v>176</v>
      </c>
      <c r="N283" s="49" t="s">
        <v>254</v>
      </c>
    </row>
    <row r="284" spans="1:14" ht="27.9" customHeight="1" x14ac:dyDescent="0.3">
      <c r="A284" s="31"/>
      <c r="B284" s="30"/>
      <c r="C284" s="31"/>
      <c r="D284" s="31"/>
      <c r="E284" s="30"/>
      <c r="F284" s="31"/>
      <c r="G284" s="31"/>
      <c r="H284" s="30"/>
      <c r="I284" s="31" t="str">
        <f>IF(F284="","",IF(F284="Tecnicatura en composición coreográfica en ddv fusión","Jime",CONCATENATE(VLOOKUP(G284,OPCIONES!D:E,2,0),VLOOKUP(H284,OPCIONES!$G$2:$H$8,2,0))))</f>
        <v/>
      </c>
      <c r="J284" s="49">
        <f t="shared" si="5"/>
        <v>15000</v>
      </c>
      <c r="K284" s="49" t="s">
        <v>91</v>
      </c>
      <c r="L284" s="49" t="s">
        <v>176</v>
      </c>
      <c r="N284" s="49" t="s">
        <v>254</v>
      </c>
    </row>
    <row r="285" spans="1:14" ht="27.9" customHeight="1" x14ac:dyDescent="0.3">
      <c r="A285" s="31"/>
      <c r="B285" s="30"/>
      <c r="C285" s="31"/>
      <c r="D285" s="31"/>
      <c r="E285" s="30"/>
      <c r="F285" s="31"/>
      <c r="G285" s="31"/>
      <c r="H285" s="30"/>
      <c r="I285" s="31" t="str">
        <f>IF(F285="","",IF(F285="Tecnicatura en composición coreográfica en ddv fusión","Jime",CONCATENATE(VLOOKUP(G285,OPCIONES!D:E,2,0),VLOOKUP(H285,OPCIONES!$G$2:$H$8,2,0))))</f>
        <v/>
      </c>
      <c r="J285" s="49">
        <f t="shared" si="5"/>
        <v>15000</v>
      </c>
      <c r="K285" s="49" t="s">
        <v>91</v>
      </c>
      <c r="L285" s="49" t="s">
        <v>176</v>
      </c>
      <c r="N285" s="49" t="s">
        <v>254</v>
      </c>
    </row>
    <row r="286" spans="1:14" ht="27.9" customHeight="1" x14ac:dyDescent="0.3">
      <c r="A286" s="31"/>
      <c r="B286" s="30"/>
      <c r="C286" s="31"/>
      <c r="D286" s="31"/>
      <c r="E286" s="30"/>
      <c r="F286" s="31"/>
      <c r="G286" s="31"/>
      <c r="H286" s="30"/>
      <c r="I286" s="31" t="str">
        <f>IF(F286="","",IF(F286="Tecnicatura en composición coreográfica en ddv fusión","Jime",CONCATENATE(VLOOKUP(G286,OPCIONES!D:E,2,0),VLOOKUP(H286,OPCIONES!$G$2:$H$8,2,0))))</f>
        <v/>
      </c>
      <c r="J286" s="49">
        <f t="shared" si="5"/>
        <v>15000</v>
      </c>
      <c r="K286" s="49" t="s">
        <v>91</v>
      </c>
      <c r="L286" s="49" t="s">
        <v>176</v>
      </c>
      <c r="N286" s="49" t="s">
        <v>254</v>
      </c>
    </row>
    <row r="287" spans="1:14" ht="27.9" customHeight="1" x14ac:dyDescent="0.3">
      <c r="A287" s="31"/>
      <c r="B287" s="30"/>
      <c r="C287" s="31"/>
      <c r="D287" s="31"/>
      <c r="E287" s="30"/>
      <c r="F287" s="31"/>
      <c r="G287" s="31"/>
      <c r="H287" s="30"/>
      <c r="I287" s="31" t="str">
        <f>IF(F287="","",IF(F287="Tecnicatura en composición coreográfica en ddv fusión","Jime",CONCATENATE(VLOOKUP(G287,OPCIONES!D:E,2,0),VLOOKUP(H287,OPCIONES!$G$2:$H$8,2,0))))</f>
        <v/>
      </c>
      <c r="J287" s="49">
        <f t="shared" si="5"/>
        <v>15000</v>
      </c>
      <c r="K287" s="49" t="s">
        <v>91</v>
      </c>
      <c r="L287" s="49" t="s">
        <v>176</v>
      </c>
      <c r="N287" s="49" t="s">
        <v>254</v>
      </c>
    </row>
    <row r="288" spans="1:14" ht="27.9" customHeight="1" x14ac:dyDescent="0.3">
      <c r="A288" s="31"/>
      <c r="B288" s="30"/>
      <c r="C288" s="31"/>
      <c r="D288" s="31"/>
      <c r="E288" s="30"/>
      <c r="F288" s="31"/>
      <c r="G288" s="31"/>
      <c r="H288" s="30"/>
      <c r="I288" s="31" t="str">
        <f>IF(F288="","",IF(F288="Tecnicatura en composición coreográfica en ddv fusión","Jime",CONCATENATE(VLOOKUP(G288,OPCIONES!D:E,2,0),VLOOKUP(H288,OPCIONES!$G$2:$H$8,2,0))))</f>
        <v/>
      </c>
      <c r="J288" s="49">
        <f t="shared" si="5"/>
        <v>15000</v>
      </c>
      <c r="K288" s="49" t="s">
        <v>91</v>
      </c>
      <c r="L288" s="49" t="s">
        <v>176</v>
      </c>
      <c r="N288" s="49" t="s">
        <v>254</v>
      </c>
    </row>
    <row r="289" spans="1:14" ht="27.9" customHeight="1" x14ac:dyDescent="0.3">
      <c r="A289" s="31"/>
      <c r="B289" s="30"/>
      <c r="C289" s="31"/>
      <c r="D289" s="31"/>
      <c r="E289" s="30"/>
      <c r="F289" s="31"/>
      <c r="G289" s="31"/>
      <c r="H289" s="30"/>
      <c r="I289" s="31" t="str">
        <f>IF(F289="","",IF(F289="Tecnicatura en composición coreográfica en ddv fusión","Jime",CONCATENATE(VLOOKUP(G289,OPCIONES!D:E,2,0),VLOOKUP(H289,OPCIONES!$G$2:$H$8,2,0))))</f>
        <v/>
      </c>
      <c r="J289" s="49">
        <f t="shared" si="5"/>
        <v>15000</v>
      </c>
      <c r="K289" s="49" t="s">
        <v>91</v>
      </c>
      <c r="L289" s="49" t="s">
        <v>176</v>
      </c>
      <c r="N289" s="49" t="s">
        <v>254</v>
      </c>
    </row>
    <row r="290" spans="1:14" ht="27.9" customHeight="1" x14ac:dyDescent="0.3">
      <c r="A290" s="31"/>
      <c r="B290" s="30"/>
      <c r="C290" s="31"/>
      <c r="D290" s="31"/>
      <c r="E290" s="30"/>
      <c r="F290" s="31"/>
      <c r="G290" s="31"/>
      <c r="H290" s="30"/>
      <c r="I290" s="31" t="str">
        <f>IF(F290="","",IF(F290="Tecnicatura en composición coreográfica en ddv fusión","Jime",CONCATENATE(VLOOKUP(G290,OPCIONES!D:E,2,0),VLOOKUP(H290,OPCIONES!$G$2:$H$8,2,0))))</f>
        <v/>
      </c>
      <c r="J290" s="49">
        <f t="shared" si="5"/>
        <v>15000</v>
      </c>
      <c r="K290" s="49" t="s">
        <v>91</v>
      </c>
      <c r="L290" s="49" t="s">
        <v>176</v>
      </c>
      <c r="N290" s="49" t="s">
        <v>254</v>
      </c>
    </row>
    <row r="291" spans="1:14" ht="27.9" customHeight="1" x14ac:dyDescent="0.3">
      <c r="A291" s="31"/>
      <c r="B291" s="30"/>
      <c r="C291" s="31"/>
      <c r="D291" s="31"/>
      <c r="E291" s="30"/>
      <c r="F291" s="31"/>
      <c r="G291" s="31"/>
      <c r="H291" s="30"/>
      <c r="I291" s="31" t="str">
        <f>IF(F291="","",IF(F291="Tecnicatura en composición coreográfica en ddv fusión","Jime",CONCATENATE(VLOOKUP(G291,OPCIONES!D:E,2,0),VLOOKUP(H291,OPCIONES!$G$2:$H$8,2,0))))</f>
        <v/>
      </c>
      <c r="J291" s="49">
        <f t="shared" si="5"/>
        <v>15000</v>
      </c>
      <c r="K291" s="49" t="s">
        <v>91</v>
      </c>
      <c r="L291" s="49" t="s">
        <v>176</v>
      </c>
      <c r="N291" s="49" t="s">
        <v>254</v>
      </c>
    </row>
    <row r="292" spans="1:14" ht="27.9" customHeight="1" x14ac:dyDescent="0.3">
      <c r="A292" s="31"/>
      <c r="B292" s="30"/>
      <c r="C292" s="31"/>
      <c r="D292" s="31"/>
      <c r="E292" s="30"/>
      <c r="F292" s="31"/>
      <c r="G292" s="31"/>
      <c r="H292" s="30"/>
      <c r="I292" s="31" t="str">
        <f>IF(F292="","",IF(F292="Tecnicatura en composición coreográfica en ddv fusión","Jime",CONCATENATE(VLOOKUP(G292,OPCIONES!D:E,2,0),VLOOKUP(H292,OPCIONES!$G$2:$H$8,2,0))))</f>
        <v/>
      </c>
      <c r="J292" s="49">
        <f t="shared" si="5"/>
        <v>15000</v>
      </c>
      <c r="K292" s="49" t="s">
        <v>91</v>
      </c>
      <c r="L292" s="49" t="s">
        <v>176</v>
      </c>
      <c r="N292" s="49" t="s">
        <v>254</v>
      </c>
    </row>
    <row r="293" spans="1:14" ht="27.9" customHeight="1" x14ac:dyDescent="0.3">
      <c r="A293" s="31"/>
      <c r="B293" s="30"/>
      <c r="C293" s="31"/>
      <c r="D293" s="31"/>
      <c r="E293" s="30"/>
      <c r="F293" s="31"/>
      <c r="G293" s="31"/>
      <c r="H293" s="30"/>
      <c r="I293" s="31" t="str">
        <f>IF(F293="","",IF(F293="Tecnicatura en composición coreográfica en ddv fusión","Jime",CONCATENATE(VLOOKUP(G293,OPCIONES!D:E,2,0),VLOOKUP(H293,OPCIONES!$G$2:$H$8,2,0))))</f>
        <v/>
      </c>
      <c r="J293" s="49">
        <f t="shared" si="5"/>
        <v>15000</v>
      </c>
      <c r="K293" s="49" t="s">
        <v>91</v>
      </c>
      <c r="L293" s="49" t="s">
        <v>176</v>
      </c>
      <c r="N293" s="49" t="s">
        <v>254</v>
      </c>
    </row>
    <row r="294" spans="1:14" ht="27.9" customHeight="1" x14ac:dyDescent="0.3">
      <c r="A294" s="31"/>
      <c r="B294" s="30"/>
      <c r="C294" s="31"/>
      <c r="D294" s="31"/>
      <c r="E294" s="30"/>
      <c r="F294" s="31"/>
      <c r="G294" s="31"/>
      <c r="H294" s="30"/>
      <c r="I294" s="31" t="str">
        <f>IF(F294="","",IF(F294="Tecnicatura en composición coreográfica en ddv fusión","Jime",CONCATENATE(VLOOKUP(G294,OPCIONES!D:E,2,0),VLOOKUP(H294,OPCIONES!$G$2:$H$8,2,0))))</f>
        <v/>
      </c>
      <c r="J294" s="49">
        <f t="shared" si="5"/>
        <v>15000</v>
      </c>
      <c r="K294" s="49" t="s">
        <v>91</v>
      </c>
      <c r="L294" s="49" t="s">
        <v>176</v>
      </c>
      <c r="N294" s="49" t="s">
        <v>254</v>
      </c>
    </row>
    <row r="295" spans="1:14" ht="27.9" customHeight="1" x14ac:dyDescent="0.3">
      <c r="A295" s="31"/>
      <c r="B295" s="30"/>
      <c r="C295" s="31"/>
      <c r="D295" s="31"/>
      <c r="E295" s="30"/>
      <c r="F295" s="31"/>
      <c r="G295" s="31"/>
      <c r="H295" s="30"/>
      <c r="I295" s="31" t="str">
        <f>IF(F295="","",IF(F295="Tecnicatura en composición coreográfica en ddv fusión","Jime",CONCATENATE(VLOOKUP(G295,OPCIONES!D:E,2,0),VLOOKUP(H295,OPCIONES!$G$2:$H$8,2,0))))</f>
        <v/>
      </c>
      <c r="J295" s="49">
        <f t="shared" si="5"/>
        <v>15000</v>
      </c>
      <c r="K295" s="49" t="s">
        <v>91</v>
      </c>
      <c r="L295" s="49" t="s">
        <v>176</v>
      </c>
      <c r="N295" s="49" t="s">
        <v>254</v>
      </c>
    </row>
    <row r="296" spans="1:14" ht="27.9" customHeight="1" x14ac:dyDescent="0.3">
      <c r="A296" s="31"/>
      <c r="B296" s="30"/>
      <c r="C296" s="31"/>
      <c r="D296" s="31"/>
      <c r="E296" s="30"/>
      <c r="F296" s="31"/>
      <c r="G296" s="31"/>
      <c r="H296" s="30"/>
      <c r="I296" s="31" t="str">
        <f>IF(F296="","",IF(F296="Tecnicatura en composición coreográfica en ddv fusión","Jime",CONCATENATE(VLOOKUP(G296,OPCIONES!D:E,2,0),VLOOKUP(H296,OPCIONES!$G$2:$H$8,2,0))))</f>
        <v/>
      </c>
      <c r="J296" s="49">
        <f t="shared" si="5"/>
        <v>15000</v>
      </c>
      <c r="K296" s="49" t="s">
        <v>91</v>
      </c>
      <c r="L296" s="49" t="s">
        <v>176</v>
      </c>
      <c r="N296" s="49" t="s">
        <v>254</v>
      </c>
    </row>
    <row r="297" spans="1:14" ht="27.9" customHeight="1" x14ac:dyDescent="0.3">
      <c r="A297" s="31"/>
      <c r="B297" s="30"/>
      <c r="C297" s="31"/>
      <c r="D297" s="31"/>
      <c r="E297" s="30"/>
      <c r="F297" s="31"/>
      <c r="G297" s="31"/>
      <c r="H297" s="30"/>
      <c r="I297" s="31" t="str">
        <f>IF(F297="","",IF(F297="Tecnicatura en composición coreográfica en ddv fusión","Jime",CONCATENATE(VLOOKUP(G297,OPCIONES!D:E,2,0),VLOOKUP(H297,OPCIONES!$G$2:$H$8,2,0))))</f>
        <v/>
      </c>
      <c r="J297" s="49">
        <f t="shared" si="5"/>
        <v>15000</v>
      </c>
      <c r="K297" s="49" t="s">
        <v>91</v>
      </c>
      <c r="L297" s="49" t="s">
        <v>176</v>
      </c>
      <c r="N297" s="49" t="s">
        <v>254</v>
      </c>
    </row>
    <row r="298" spans="1:14" ht="27.9" customHeight="1" x14ac:dyDescent="0.3">
      <c r="A298" s="31"/>
      <c r="B298" s="30"/>
      <c r="C298" s="31"/>
      <c r="D298" s="31"/>
      <c r="E298" s="30"/>
      <c r="F298" s="31"/>
      <c r="G298" s="31"/>
      <c r="H298" s="30"/>
      <c r="I298" s="31" t="str">
        <f>IF(F298="","",IF(F298="Tecnicatura en composición coreográfica en ddv fusión","Jime",CONCATENATE(VLOOKUP(G298,OPCIONES!D:E,2,0),VLOOKUP(H298,OPCIONES!$G$2:$H$8,2,0))))</f>
        <v/>
      </c>
      <c r="J298" s="49">
        <f t="shared" si="5"/>
        <v>15000</v>
      </c>
      <c r="K298" s="49" t="s">
        <v>91</v>
      </c>
      <c r="L298" s="49" t="s">
        <v>176</v>
      </c>
      <c r="N298" s="49" t="s">
        <v>254</v>
      </c>
    </row>
    <row r="299" spans="1:14" ht="27.9" customHeight="1" x14ac:dyDescent="0.3">
      <c r="A299" s="31"/>
      <c r="B299" s="30"/>
      <c r="C299" s="31"/>
      <c r="D299" s="31"/>
      <c r="E299" s="30"/>
      <c r="F299" s="31"/>
      <c r="G299" s="31"/>
      <c r="H299" s="30"/>
      <c r="I299" s="31" t="str">
        <f>IF(F299="","",IF(F299="Tecnicatura en composición coreográfica en ddv fusión","Jime",CONCATENATE(VLOOKUP(G299,OPCIONES!D:E,2,0),VLOOKUP(H299,OPCIONES!$G$2:$H$8,2,0))))</f>
        <v/>
      </c>
      <c r="J299" s="49">
        <f t="shared" si="5"/>
        <v>15000</v>
      </c>
      <c r="K299" s="49" t="s">
        <v>91</v>
      </c>
      <c r="L299" s="49" t="s">
        <v>176</v>
      </c>
      <c r="N299" s="49" t="s">
        <v>254</v>
      </c>
    </row>
    <row r="300" spans="1:14" ht="27.9" customHeight="1" x14ac:dyDescent="0.3">
      <c r="A300" s="31"/>
      <c r="B300" s="30"/>
      <c r="C300" s="31"/>
      <c r="D300" s="31"/>
      <c r="E300" s="30"/>
      <c r="F300" s="31"/>
      <c r="G300" s="31"/>
      <c r="H300" s="30"/>
      <c r="I300" s="31" t="str">
        <f>IF(F300="","",IF(F300="Tecnicatura en composición coreográfica en ddv fusión","Jime",CONCATENATE(VLOOKUP(G300,OPCIONES!D:E,2,0),VLOOKUP(H300,OPCIONES!$G$2:$H$8,2,0))))</f>
        <v/>
      </c>
      <c r="J300" s="49">
        <f t="shared" si="5"/>
        <v>15000</v>
      </c>
      <c r="K300" s="49" t="s">
        <v>91</v>
      </c>
      <c r="L300" s="49" t="s">
        <v>176</v>
      </c>
      <c r="N300" s="49" t="s">
        <v>254</v>
      </c>
    </row>
    <row r="301" spans="1:14" ht="27.9" customHeight="1" x14ac:dyDescent="0.3">
      <c r="A301" s="31"/>
      <c r="B301" s="30"/>
      <c r="C301" s="31"/>
      <c r="D301" s="31"/>
      <c r="E301" s="30"/>
      <c r="F301" s="31"/>
      <c r="G301" s="31"/>
      <c r="H301" s="30"/>
      <c r="I301" s="31" t="str">
        <f>IF(F301="","",IF(F301="Tecnicatura en composición coreográfica en ddv fusión","Jime",CONCATENATE(VLOOKUP(G301,OPCIONES!D:E,2,0),VLOOKUP(H301,OPCIONES!$G$2:$H$8,2,0))))</f>
        <v/>
      </c>
      <c r="J301" s="49">
        <f t="shared" si="5"/>
        <v>15000</v>
      </c>
      <c r="K301" s="49" t="s">
        <v>91</v>
      </c>
      <c r="L301" s="49" t="s">
        <v>176</v>
      </c>
      <c r="N301" s="49" t="s">
        <v>254</v>
      </c>
    </row>
    <row r="302" spans="1:14" ht="27.9" customHeight="1" x14ac:dyDescent="0.3">
      <c r="A302" s="31"/>
      <c r="B302" s="30"/>
      <c r="C302" s="31"/>
      <c r="D302" s="31"/>
      <c r="E302" s="30"/>
      <c r="F302" s="31"/>
      <c r="G302" s="31"/>
      <c r="H302" s="30"/>
      <c r="I302" s="31" t="str">
        <f>IF(F302="","",IF(F302="Tecnicatura en composición coreográfica en ddv fusión","Jime",CONCATENATE(VLOOKUP(G302,OPCIONES!D:E,2,0),VLOOKUP(H302,OPCIONES!$G$2:$H$8,2,0))))</f>
        <v/>
      </c>
      <c r="J302" s="49">
        <f t="shared" si="5"/>
        <v>15000</v>
      </c>
      <c r="K302" s="49" t="s">
        <v>91</v>
      </c>
      <c r="L302" s="49" t="s">
        <v>176</v>
      </c>
      <c r="N302" s="49" t="s">
        <v>254</v>
      </c>
    </row>
    <row r="303" spans="1:14" ht="27.9" customHeight="1" x14ac:dyDescent="0.3">
      <c r="A303" s="31"/>
      <c r="B303" s="30"/>
      <c r="C303" s="31"/>
      <c r="D303" s="31"/>
      <c r="E303" s="30"/>
      <c r="F303" s="31"/>
      <c r="G303" s="31"/>
      <c r="H303" s="30"/>
      <c r="I303" s="31" t="str">
        <f>IF(F303="","",IF(F303="Tecnicatura en composición coreográfica en ddv fusión","Jime",CONCATENATE(VLOOKUP(G303,OPCIONES!D:E,2,0),VLOOKUP(H303,OPCIONES!$G$2:$H$8,2,0))))</f>
        <v/>
      </c>
      <c r="J303" s="49">
        <f t="shared" si="5"/>
        <v>15000</v>
      </c>
      <c r="K303" s="49" t="s">
        <v>91</v>
      </c>
      <c r="L303" s="49" t="s">
        <v>176</v>
      </c>
      <c r="N303" s="49" t="s">
        <v>254</v>
      </c>
    </row>
    <row r="304" spans="1:14" ht="27.9" customHeight="1" x14ac:dyDescent="0.3">
      <c r="A304" s="31"/>
      <c r="B304" s="30"/>
      <c r="C304" s="31"/>
      <c r="D304" s="31"/>
      <c r="E304" s="30"/>
      <c r="F304" s="31"/>
      <c r="G304" s="31"/>
      <c r="H304" s="30"/>
      <c r="I304" s="31" t="str">
        <f>IF(F304="","",IF(F304="Tecnicatura en composición coreográfica en ddv fusión","Jime",CONCATENATE(VLOOKUP(G304,OPCIONES!D:E,2,0),VLOOKUP(H304,OPCIONES!$G$2:$H$8,2,0))))</f>
        <v/>
      </c>
      <c r="J304" s="49">
        <f t="shared" si="5"/>
        <v>15000</v>
      </c>
      <c r="K304" s="49" t="s">
        <v>91</v>
      </c>
      <c r="L304" s="49" t="s">
        <v>176</v>
      </c>
      <c r="N304" s="49" t="s">
        <v>254</v>
      </c>
    </row>
    <row r="305" spans="1:14" ht="27.9" customHeight="1" x14ac:dyDescent="0.3">
      <c r="A305" s="31"/>
      <c r="B305" s="30"/>
      <c r="C305" s="31"/>
      <c r="D305" s="31"/>
      <c r="E305" s="30"/>
      <c r="F305" s="31"/>
      <c r="G305" s="31"/>
      <c r="H305" s="30"/>
      <c r="I305" s="31" t="str">
        <f>IF(F305="","",IF(F305="Tecnicatura en composición coreográfica en ddv fusión","Jime",CONCATENATE(VLOOKUP(G305,OPCIONES!D:E,2,0),VLOOKUP(H305,OPCIONES!$G$2:$H$8,2,0))))</f>
        <v/>
      </c>
      <c r="J305" s="49">
        <f t="shared" si="5"/>
        <v>15000</v>
      </c>
      <c r="K305" s="49" t="s">
        <v>91</v>
      </c>
      <c r="L305" s="49" t="s">
        <v>176</v>
      </c>
      <c r="N305" s="49" t="s">
        <v>254</v>
      </c>
    </row>
    <row r="306" spans="1:14" ht="27.9" customHeight="1" x14ac:dyDescent="0.3">
      <c r="A306" s="31"/>
      <c r="B306" s="30"/>
      <c r="C306" s="31"/>
      <c r="D306" s="31"/>
      <c r="E306" s="30"/>
      <c r="F306" s="31"/>
      <c r="G306" s="31"/>
      <c r="H306" s="30"/>
      <c r="I306" s="31" t="str">
        <f>IF(F306="","",IF(F306="Tecnicatura en composición coreográfica en ddv fusión","Jime",CONCATENATE(VLOOKUP(G306,OPCIONES!D:E,2,0),VLOOKUP(H306,OPCIONES!$G$2:$H$8,2,0))))</f>
        <v/>
      </c>
      <c r="J306" s="49">
        <f t="shared" si="5"/>
        <v>15000</v>
      </c>
      <c r="K306" s="49" t="s">
        <v>91</v>
      </c>
      <c r="L306" s="49" t="s">
        <v>176</v>
      </c>
      <c r="N306" s="49" t="s">
        <v>254</v>
      </c>
    </row>
    <row r="307" spans="1:14" ht="27.9" customHeight="1" x14ac:dyDescent="0.3">
      <c r="A307" s="31"/>
      <c r="B307" s="30"/>
      <c r="C307" s="31"/>
      <c r="D307" s="31"/>
      <c r="E307" s="30"/>
      <c r="F307" s="31"/>
      <c r="G307" s="31"/>
      <c r="H307" s="30"/>
      <c r="I307" s="31" t="str">
        <f>IF(F307="","",IF(F307="Tecnicatura en composición coreográfica en ddv fusión","Jime",CONCATENATE(VLOOKUP(G307,OPCIONES!D:E,2,0),VLOOKUP(H307,OPCIONES!$G$2:$H$8,2,0))))</f>
        <v/>
      </c>
      <c r="J307" s="49">
        <f t="shared" si="5"/>
        <v>15000</v>
      </c>
      <c r="K307" s="49" t="s">
        <v>91</v>
      </c>
      <c r="L307" s="49" t="s">
        <v>176</v>
      </c>
      <c r="N307" s="49" t="s">
        <v>254</v>
      </c>
    </row>
    <row r="308" spans="1:14" ht="27.9" customHeight="1" x14ac:dyDescent="0.3">
      <c r="A308" s="31"/>
      <c r="B308" s="30"/>
      <c r="C308" s="31"/>
      <c r="D308" s="31"/>
      <c r="E308" s="30"/>
      <c r="F308" s="31"/>
      <c r="G308" s="31"/>
      <c r="H308" s="30"/>
      <c r="I308" s="31" t="str">
        <f>IF(F308="","",IF(F308="Tecnicatura en composición coreográfica en ddv fusión","Jime",CONCATENATE(VLOOKUP(G308,OPCIONES!D:E,2,0),VLOOKUP(H308,OPCIONES!$G$2:$H$8,2,0))))</f>
        <v/>
      </c>
      <c r="J308" s="49">
        <f t="shared" si="5"/>
        <v>15000</v>
      </c>
      <c r="K308" s="49" t="s">
        <v>91</v>
      </c>
      <c r="L308" s="49" t="s">
        <v>176</v>
      </c>
      <c r="N308" s="49" t="s">
        <v>254</v>
      </c>
    </row>
    <row r="309" spans="1:14" ht="27.9" customHeight="1" x14ac:dyDescent="0.3">
      <c r="A309" s="31"/>
      <c r="B309" s="30"/>
      <c r="C309" s="31"/>
      <c r="D309" s="31"/>
      <c r="E309" s="30"/>
      <c r="F309" s="31"/>
      <c r="G309" s="31"/>
      <c r="H309" s="30"/>
      <c r="I309" s="31" t="str">
        <f>IF(F309="","",IF(F309="Tecnicatura en composición coreográfica en ddv fusión","Jime",CONCATENATE(VLOOKUP(G309,OPCIONES!D:E,2,0),VLOOKUP(H309,OPCIONES!$G$2:$H$8,2,0))))</f>
        <v/>
      </c>
      <c r="J309" s="49">
        <f t="shared" si="5"/>
        <v>15000</v>
      </c>
      <c r="K309" s="49" t="s">
        <v>91</v>
      </c>
      <c r="L309" s="49" t="s">
        <v>176</v>
      </c>
      <c r="N309" s="49" t="s">
        <v>254</v>
      </c>
    </row>
    <row r="310" spans="1:14" ht="27.9" customHeight="1" x14ac:dyDescent="0.3">
      <c r="A310" s="31"/>
      <c r="B310" s="30"/>
      <c r="C310" s="31"/>
      <c r="D310" s="31"/>
      <c r="E310" s="30"/>
      <c r="F310" s="31"/>
      <c r="G310" s="31"/>
      <c r="H310" s="30"/>
      <c r="I310" s="31" t="str">
        <f>IF(F310="","",IF(F310="Tecnicatura en composición coreográfica en ddv fusión","Jime",CONCATENATE(VLOOKUP(G310,OPCIONES!D:E,2,0),VLOOKUP(H310,OPCIONES!$G$2:$H$8,2,0))))</f>
        <v/>
      </c>
      <c r="J310" s="49">
        <f t="shared" si="5"/>
        <v>15000</v>
      </c>
      <c r="K310" s="49" t="s">
        <v>91</v>
      </c>
      <c r="L310" s="49" t="s">
        <v>176</v>
      </c>
      <c r="N310" s="49" t="s">
        <v>254</v>
      </c>
    </row>
    <row r="311" spans="1:14" ht="27.9" customHeight="1" x14ac:dyDescent="0.3">
      <c r="A311" s="31"/>
      <c r="B311" s="30"/>
      <c r="C311" s="31"/>
      <c r="D311" s="31"/>
      <c r="E311" s="30"/>
      <c r="F311" s="31"/>
      <c r="G311" s="31"/>
      <c r="H311" s="30"/>
      <c r="I311" s="31" t="str">
        <f>IF(F311="","",IF(F311="Tecnicatura en composición coreográfica en ddv fusión","Jime",CONCATENATE(VLOOKUP(G311,OPCIONES!D:E,2,0),VLOOKUP(H311,OPCIONES!$G$2:$H$8,2,0))))</f>
        <v/>
      </c>
      <c r="J311" s="49">
        <f t="shared" si="5"/>
        <v>15000</v>
      </c>
      <c r="K311" s="49" t="s">
        <v>91</v>
      </c>
      <c r="L311" s="49" t="s">
        <v>176</v>
      </c>
      <c r="N311" s="49" t="s">
        <v>254</v>
      </c>
    </row>
    <row r="312" spans="1:14" ht="27.9" customHeight="1" x14ac:dyDescent="0.3">
      <c r="A312" s="31"/>
      <c r="B312" s="30"/>
      <c r="C312" s="31"/>
      <c r="D312" s="31"/>
      <c r="E312" s="30"/>
      <c r="F312" s="31"/>
      <c r="G312" s="31"/>
      <c r="H312" s="30"/>
      <c r="I312" s="31" t="str">
        <f>IF(F312="","",IF(F312="Tecnicatura en composición coreográfica en ddv fusión","Jime",CONCATENATE(VLOOKUP(G312,OPCIONES!D:E,2,0),VLOOKUP(H312,OPCIONES!$G$2:$H$8,2,0))))</f>
        <v/>
      </c>
      <c r="J312" s="49">
        <f t="shared" si="5"/>
        <v>15000</v>
      </c>
      <c r="K312" s="49" t="s">
        <v>91</v>
      </c>
      <c r="L312" s="49" t="s">
        <v>176</v>
      </c>
      <c r="N312" s="49" t="s">
        <v>254</v>
      </c>
    </row>
    <row r="313" spans="1:14" ht="27.9" customHeight="1" x14ac:dyDescent="0.3">
      <c r="A313" s="31"/>
      <c r="B313" s="30"/>
      <c r="C313" s="31"/>
      <c r="D313" s="31"/>
      <c r="E313" s="30"/>
      <c r="F313" s="31"/>
      <c r="G313" s="31"/>
      <c r="H313" s="30"/>
      <c r="I313" s="31" t="str">
        <f>IF(F313="","",IF(F313="Tecnicatura en composición coreográfica en ddv fusión","Jime",CONCATENATE(VLOOKUP(G313,OPCIONES!D:E,2,0),VLOOKUP(H313,OPCIONES!$G$2:$H$8,2,0))))</f>
        <v/>
      </c>
      <c r="J313" s="49">
        <f t="shared" si="5"/>
        <v>15000</v>
      </c>
      <c r="K313" s="49" t="s">
        <v>91</v>
      </c>
      <c r="L313" s="49" t="s">
        <v>176</v>
      </c>
      <c r="N313" s="49" t="s">
        <v>254</v>
      </c>
    </row>
    <row r="314" spans="1:14" ht="27.9" customHeight="1" x14ac:dyDescent="0.3">
      <c r="A314" s="31"/>
      <c r="B314" s="30"/>
      <c r="C314" s="31"/>
      <c r="D314" s="31"/>
      <c r="E314" s="30"/>
      <c r="F314" s="31"/>
      <c r="G314" s="31"/>
      <c r="H314" s="30"/>
      <c r="I314" s="31" t="str">
        <f>IF(F314="","",IF(F314="Tecnicatura en composición coreográfica en ddv fusión","Jime",CONCATENATE(VLOOKUP(G314,OPCIONES!D:E,2,0),VLOOKUP(H314,OPCIONES!$G$2:$H$8,2,0))))</f>
        <v/>
      </c>
      <c r="J314" s="49">
        <f t="shared" si="5"/>
        <v>15000</v>
      </c>
      <c r="K314" s="49" t="s">
        <v>91</v>
      </c>
      <c r="L314" s="49" t="s">
        <v>176</v>
      </c>
      <c r="N314" s="49" t="s">
        <v>254</v>
      </c>
    </row>
    <row r="315" spans="1:14" ht="27.9" customHeight="1" x14ac:dyDescent="0.3">
      <c r="A315" s="31"/>
      <c r="B315" s="30"/>
      <c r="C315" s="31"/>
      <c r="D315" s="31"/>
      <c r="E315" s="30"/>
      <c r="F315" s="31"/>
      <c r="G315" s="31"/>
      <c r="H315" s="30"/>
      <c r="I315" s="31" t="str">
        <f>IF(F315="","",IF(F315="Tecnicatura en composición coreográfica en ddv fusión","Jime",CONCATENATE(VLOOKUP(G315,OPCIONES!D:E,2,0),VLOOKUP(H315,OPCIONES!$G$2:$H$8,2,0))))</f>
        <v/>
      </c>
      <c r="J315" s="49">
        <f t="shared" si="5"/>
        <v>15000</v>
      </c>
      <c r="K315" s="49" t="s">
        <v>91</v>
      </c>
      <c r="L315" s="49" t="s">
        <v>176</v>
      </c>
      <c r="N315" s="49" t="s">
        <v>254</v>
      </c>
    </row>
    <row r="316" spans="1:14" ht="27.9" customHeight="1" x14ac:dyDescent="0.3">
      <c r="A316" s="31"/>
      <c r="B316" s="30"/>
      <c r="C316" s="31"/>
      <c r="D316" s="31"/>
      <c r="E316" s="30"/>
      <c r="F316" s="31"/>
      <c r="G316" s="31"/>
      <c r="H316" s="30"/>
      <c r="I316" s="31" t="str">
        <f>IF(F316="","",IF(F316="Tecnicatura en composición coreográfica en ddv fusión","Jime",CONCATENATE(VLOOKUP(G316,OPCIONES!D:E,2,0),VLOOKUP(H316,OPCIONES!$G$2:$H$8,2,0))))</f>
        <v/>
      </c>
      <c r="J316" s="49">
        <f t="shared" si="5"/>
        <v>15000</v>
      </c>
      <c r="K316" s="49" t="s">
        <v>91</v>
      </c>
      <c r="L316" s="49" t="s">
        <v>176</v>
      </c>
      <c r="N316" s="49" t="s">
        <v>254</v>
      </c>
    </row>
    <row r="317" spans="1:14" ht="27.9" customHeight="1" x14ac:dyDescent="0.3">
      <c r="A317" s="31"/>
      <c r="B317" s="30"/>
      <c r="C317" s="31"/>
      <c r="D317" s="31"/>
      <c r="E317" s="30"/>
      <c r="F317" s="31"/>
      <c r="G317" s="31"/>
      <c r="H317" s="30"/>
      <c r="I317" s="31" t="str">
        <f>IF(F317="","",IF(F317="Tecnicatura en composición coreográfica en ddv fusión","Jime",CONCATENATE(VLOOKUP(G317,OPCIONES!D:E,2,0),VLOOKUP(H317,OPCIONES!$G$2:$H$8,2,0))))</f>
        <v/>
      </c>
      <c r="J317" s="49">
        <f t="shared" si="5"/>
        <v>15000</v>
      </c>
      <c r="K317" s="49" t="s">
        <v>91</v>
      </c>
      <c r="L317" s="49" t="s">
        <v>176</v>
      </c>
      <c r="N317" s="49" t="s">
        <v>254</v>
      </c>
    </row>
    <row r="318" spans="1:14" ht="27.9" customHeight="1" x14ac:dyDescent="0.3">
      <c r="A318" s="31"/>
      <c r="B318" s="30"/>
      <c r="C318" s="31"/>
      <c r="D318" s="31"/>
      <c r="E318" s="30"/>
      <c r="F318" s="31"/>
      <c r="G318" s="31"/>
      <c r="H318" s="30"/>
      <c r="I318" s="31" t="str">
        <f>IF(F318="","",IF(F318="Tecnicatura en composición coreográfica en ddv fusión","Jime",CONCATENATE(VLOOKUP(G318,OPCIONES!D:E,2,0),VLOOKUP(H318,OPCIONES!$G$2:$H$8,2,0))))</f>
        <v/>
      </c>
      <c r="J318" s="49">
        <f t="shared" si="5"/>
        <v>15000</v>
      </c>
      <c r="K318" s="49" t="s">
        <v>91</v>
      </c>
      <c r="L318" s="49" t="s">
        <v>176</v>
      </c>
      <c r="N318" s="49" t="s">
        <v>254</v>
      </c>
    </row>
    <row r="319" spans="1:14" ht="27.9" customHeight="1" x14ac:dyDescent="0.3">
      <c r="A319" s="31"/>
      <c r="B319" s="30"/>
      <c r="C319" s="31"/>
      <c r="D319" s="31"/>
      <c r="E319" s="30"/>
      <c r="F319" s="31"/>
      <c r="G319" s="31"/>
      <c r="H319" s="30"/>
      <c r="I319" s="31" t="str">
        <f>IF(F319="","",IF(F319="Tecnicatura en composición coreográfica en ddv fusión","Jime",CONCATENATE(VLOOKUP(G319,OPCIONES!D:E,2,0),VLOOKUP(H319,OPCIONES!$G$2:$H$8,2,0))))</f>
        <v/>
      </c>
      <c r="J319" s="49">
        <f t="shared" si="5"/>
        <v>15000</v>
      </c>
      <c r="K319" s="49" t="s">
        <v>91</v>
      </c>
      <c r="L319" s="49" t="s">
        <v>176</v>
      </c>
      <c r="N319" s="49" t="s">
        <v>254</v>
      </c>
    </row>
    <row r="320" spans="1:14" ht="27.9" customHeight="1" x14ac:dyDescent="0.3">
      <c r="A320" s="31"/>
      <c r="B320" s="30"/>
      <c r="C320" s="31"/>
      <c r="D320" s="31"/>
      <c r="E320" s="30"/>
      <c r="F320" s="31"/>
      <c r="G320" s="31"/>
      <c r="H320" s="30"/>
      <c r="I320" s="31" t="str">
        <f>IF(F320="","",IF(F320="Tecnicatura en composición coreográfica en ddv fusión","Jime",CONCATENATE(VLOOKUP(G320,OPCIONES!D:E,2,0),VLOOKUP(H320,OPCIONES!$G$2:$H$8,2,0))))</f>
        <v/>
      </c>
      <c r="J320" s="49">
        <f t="shared" si="5"/>
        <v>15000</v>
      </c>
      <c r="K320" s="49" t="s">
        <v>91</v>
      </c>
      <c r="L320" s="49" t="s">
        <v>176</v>
      </c>
      <c r="N320" s="49" t="s">
        <v>254</v>
      </c>
    </row>
    <row r="321" spans="1:14" ht="27.9" customHeight="1" x14ac:dyDescent="0.3">
      <c r="A321" s="31"/>
      <c r="B321" s="30"/>
      <c r="C321" s="31"/>
      <c r="D321" s="31"/>
      <c r="E321" s="30"/>
      <c r="F321" s="31"/>
      <c r="G321" s="31"/>
      <c r="H321" s="30"/>
      <c r="I321" s="31" t="str">
        <f>IF(F321="","",IF(F321="Tecnicatura en composición coreográfica en ddv fusión","Jime",CONCATENATE(VLOOKUP(G321,OPCIONES!D:E,2,0),VLOOKUP(H321,OPCIONES!$G$2:$H$8,2,0))))</f>
        <v/>
      </c>
      <c r="J321" s="49">
        <f t="shared" si="5"/>
        <v>15000</v>
      </c>
      <c r="K321" s="49" t="s">
        <v>91</v>
      </c>
      <c r="L321" s="49" t="s">
        <v>176</v>
      </c>
      <c r="N321" s="49" t="s">
        <v>254</v>
      </c>
    </row>
    <row r="322" spans="1:14" ht="27.9" customHeight="1" x14ac:dyDescent="0.3">
      <c r="A322" s="31"/>
      <c r="B322" s="30"/>
      <c r="C322" s="31"/>
      <c r="D322" s="31"/>
      <c r="E322" s="30"/>
      <c r="F322" s="31"/>
      <c r="G322" s="31"/>
      <c r="H322" s="30"/>
      <c r="I322" s="31" t="str">
        <f>IF(F322="","",IF(F322="Tecnicatura en composición coreográfica en ddv fusión","Jime",CONCATENATE(VLOOKUP(G322,OPCIONES!D:E,2,0),VLOOKUP(H322,OPCIONES!$G$2:$H$8,2,0))))</f>
        <v/>
      </c>
      <c r="J322" s="49">
        <f t="shared" si="5"/>
        <v>15000</v>
      </c>
      <c r="K322" s="49" t="s">
        <v>91</v>
      </c>
      <c r="L322" s="49" t="s">
        <v>176</v>
      </c>
      <c r="N322" s="49" t="s">
        <v>254</v>
      </c>
    </row>
    <row r="323" spans="1:14" ht="27.9" customHeight="1" x14ac:dyDescent="0.3">
      <c r="A323" s="31"/>
      <c r="B323" s="30"/>
      <c r="C323" s="31"/>
      <c r="D323" s="31"/>
      <c r="E323" s="30"/>
      <c r="F323" s="31"/>
      <c r="G323" s="31"/>
      <c r="H323" s="30"/>
      <c r="I323" s="31" t="str">
        <f>IF(F323="","",IF(F323="Tecnicatura en composición coreográfica en ddv fusión","Jime",CONCATENATE(VLOOKUP(G323,OPCIONES!D:E,2,0),VLOOKUP(H323,OPCIONES!$G$2:$H$8,2,0))))</f>
        <v/>
      </c>
      <c r="J323" s="49">
        <f t="shared" si="5"/>
        <v>15000</v>
      </c>
      <c r="K323" s="49" t="s">
        <v>91</v>
      </c>
      <c r="L323" s="49" t="s">
        <v>176</v>
      </c>
      <c r="N323" s="49" t="s">
        <v>254</v>
      </c>
    </row>
    <row r="324" spans="1:14" ht="27.9" customHeight="1" x14ac:dyDescent="0.3">
      <c r="A324" s="31"/>
      <c r="B324" s="30"/>
      <c r="C324" s="31"/>
      <c r="D324" s="31"/>
      <c r="E324" s="30"/>
      <c r="F324" s="31"/>
      <c r="G324" s="31"/>
      <c r="H324" s="30"/>
      <c r="I324" s="31" t="str">
        <f>IF(F324="","",IF(F324="Tecnicatura en composición coreográfica en ddv fusión","Jime",CONCATENATE(VLOOKUP(G324,OPCIONES!D:E,2,0),VLOOKUP(H324,OPCIONES!$G$2:$H$8,2,0))))</f>
        <v/>
      </c>
      <c r="J324" s="49">
        <f t="shared" si="5"/>
        <v>15000</v>
      </c>
      <c r="K324" s="49" t="s">
        <v>91</v>
      </c>
      <c r="L324" s="49" t="s">
        <v>176</v>
      </c>
      <c r="N324" s="49" t="s">
        <v>254</v>
      </c>
    </row>
    <row r="325" spans="1:14" ht="27.9" customHeight="1" x14ac:dyDescent="0.3">
      <c r="A325" s="31"/>
      <c r="B325" s="30"/>
      <c r="C325" s="31"/>
      <c r="D325" s="31"/>
      <c r="E325" s="30"/>
      <c r="F325" s="31"/>
      <c r="G325" s="31"/>
      <c r="H325" s="30"/>
      <c r="I325" s="31" t="str">
        <f>IF(F325="","",IF(F325="Tecnicatura en composición coreográfica en ddv fusión","Jime",CONCATENATE(VLOOKUP(G325,OPCIONES!D:E,2,0),VLOOKUP(H325,OPCIONES!$G$2:$H$8,2,0))))</f>
        <v/>
      </c>
      <c r="J325" s="49">
        <f t="shared" si="5"/>
        <v>15000</v>
      </c>
      <c r="K325" s="49" t="s">
        <v>91</v>
      </c>
      <c r="L325" s="49" t="s">
        <v>176</v>
      </c>
      <c r="N325" s="49" t="s">
        <v>254</v>
      </c>
    </row>
    <row r="326" spans="1:14" ht="27.9" customHeight="1" x14ac:dyDescent="0.3">
      <c r="A326" s="31"/>
      <c r="B326" s="30"/>
      <c r="C326" s="31"/>
      <c r="D326" s="31"/>
      <c r="E326" s="30"/>
      <c r="F326" s="31"/>
      <c r="G326" s="31"/>
      <c r="H326" s="30"/>
      <c r="I326" s="31" t="str">
        <f>IF(F326="","",IF(F326="Tecnicatura en composición coreográfica en ddv fusión","Jime",CONCATENATE(VLOOKUP(G326,OPCIONES!D:E,2,0),VLOOKUP(H326,OPCIONES!$G$2:$H$8,2,0))))</f>
        <v/>
      </c>
      <c r="J326" s="49">
        <f t="shared" ref="J326:J389" si="6">$I$1</f>
        <v>15000</v>
      </c>
      <c r="K326" s="49" t="s">
        <v>91</v>
      </c>
      <c r="L326" s="49" t="s">
        <v>176</v>
      </c>
      <c r="N326" s="49" t="s">
        <v>254</v>
      </c>
    </row>
    <row r="327" spans="1:14" ht="27.9" customHeight="1" x14ac:dyDescent="0.3">
      <c r="A327" s="31"/>
      <c r="B327" s="30"/>
      <c r="C327" s="31"/>
      <c r="D327" s="31"/>
      <c r="E327" s="30"/>
      <c r="F327" s="31"/>
      <c r="G327" s="31"/>
      <c r="H327" s="30"/>
      <c r="I327" s="31" t="str">
        <f>IF(F327="","",IF(F327="Tecnicatura en composición coreográfica en ddv fusión","Jime",CONCATENATE(VLOOKUP(G327,OPCIONES!D:E,2,0),VLOOKUP(H327,OPCIONES!$G$2:$H$8,2,0))))</f>
        <v/>
      </c>
      <c r="J327" s="49">
        <f t="shared" si="6"/>
        <v>15000</v>
      </c>
      <c r="K327" s="49" t="s">
        <v>91</v>
      </c>
      <c r="L327" s="49" t="s">
        <v>176</v>
      </c>
      <c r="N327" s="49" t="s">
        <v>254</v>
      </c>
    </row>
    <row r="328" spans="1:14" ht="27.9" customHeight="1" x14ac:dyDescent="0.3">
      <c r="A328" s="31"/>
      <c r="B328" s="30"/>
      <c r="C328" s="31"/>
      <c r="D328" s="31"/>
      <c r="E328" s="30"/>
      <c r="F328" s="31"/>
      <c r="G328" s="31"/>
      <c r="H328" s="30"/>
      <c r="I328" s="31" t="str">
        <f>IF(F328="","",IF(F328="Tecnicatura en composición coreográfica en ddv fusión","Jime",CONCATENATE(VLOOKUP(G328,OPCIONES!D:E,2,0),VLOOKUP(H328,OPCIONES!$G$2:$H$8,2,0))))</f>
        <v/>
      </c>
      <c r="J328" s="49">
        <f t="shared" si="6"/>
        <v>15000</v>
      </c>
      <c r="K328" s="49" t="s">
        <v>91</v>
      </c>
      <c r="L328" s="49" t="s">
        <v>176</v>
      </c>
      <c r="N328" s="49" t="s">
        <v>254</v>
      </c>
    </row>
    <row r="329" spans="1:14" ht="27.9" customHeight="1" x14ac:dyDescent="0.3">
      <c r="A329" s="31"/>
      <c r="B329" s="30"/>
      <c r="C329" s="31"/>
      <c r="D329" s="31"/>
      <c r="E329" s="30"/>
      <c r="F329" s="31"/>
      <c r="G329" s="31"/>
      <c r="H329" s="30"/>
      <c r="I329" s="31" t="str">
        <f>IF(F329="","",IF(F329="Tecnicatura en composición coreográfica en ddv fusión","Jime",CONCATENATE(VLOOKUP(G329,OPCIONES!D:E,2,0),VLOOKUP(H329,OPCIONES!$G$2:$H$8,2,0))))</f>
        <v/>
      </c>
      <c r="J329" s="49">
        <f t="shared" si="6"/>
        <v>15000</v>
      </c>
      <c r="K329" s="49" t="s">
        <v>91</v>
      </c>
      <c r="L329" s="49" t="s">
        <v>176</v>
      </c>
      <c r="N329" s="49" t="s">
        <v>254</v>
      </c>
    </row>
    <row r="330" spans="1:14" ht="27.9" customHeight="1" x14ac:dyDescent="0.3">
      <c r="A330" s="31"/>
      <c r="B330" s="30"/>
      <c r="C330" s="31"/>
      <c r="D330" s="31"/>
      <c r="E330" s="30"/>
      <c r="F330" s="31"/>
      <c r="G330" s="31"/>
      <c r="H330" s="30"/>
      <c r="I330" s="31" t="str">
        <f>IF(F330="","",IF(F330="Tecnicatura en composición coreográfica en ddv fusión","Jime",CONCATENATE(VLOOKUP(G330,OPCIONES!D:E,2,0),VLOOKUP(H330,OPCIONES!$G$2:$H$8,2,0))))</f>
        <v/>
      </c>
      <c r="J330" s="49">
        <f t="shared" si="6"/>
        <v>15000</v>
      </c>
      <c r="K330" s="49" t="s">
        <v>91</v>
      </c>
      <c r="L330" s="49" t="s">
        <v>176</v>
      </c>
      <c r="N330" s="49" t="s">
        <v>254</v>
      </c>
    </row>
    <row r="331" spans="1:14" ht="27.9" customHeight="1" x14ac:dyDescent="0.3">
      <c r="A331" s="31"/>
      <c r="B331" s="30"/>
      <c r="C331" s="31"/>
      <c r="D331" s="31"/>
      <c r="E331" s="30"/>
      <c r="F331" s="31"/>
      <c r="G331" s="31"/>
      <c r="H331" s="30"/>
      <c r="I331" s="31" t="str">
        <f>IF(F331="","",IF(F331="Tecnicatura en composición coreográfica en ddv fusión","Jime",CONCATENATE(VLOOKUP(G331,OPCIONES!D:E,2,0),VLOOKUP(H331,OPCIONES!$G$2:$H$8,2,0))))</f>
        <v/>
      </c>
      <c r="J331" s="49">
        <f t="shared" si="6"/>
        <v>15000</v>
      </c>
      <c r="K331" s="49" t="s">
        <v>91</v>
      </c>
      <c r="L331" s="49" t="s">
        <v>176</v>
      </c>
      <c r="N331" s="49" t="s">
        <v>254</v>
      </c>
    </row>
    <row r="332" spans="1:14" ht="27.9" customHeight="1" x14ac:dyDescent="0.3">
      <c r="A332" s="31"/>
      <c r="B332" s="30"/>
      <c r="C332" s="31"/>
      <c r="D332" s="31"/>
      <c r="E332" s="30"/>
      <c r="F332" s="31"/>
      <c r="G332" s="31"/>
      <c r="H332" s="30"/>
      <c r="I332" s="31" t="str">
        <f>IF(F332="","",IF(F332="Tecnicatura en composición coreográfica en ddv fusión","Jime",CONCATENATE(VLOOKUP(G332,OPCIONES!D:E,2,0),VLOOKUP(H332,OPCIONES!$G$2:$H$8,2,0))))</f>
        <v/>
      </c>
      <c r="J332" s="49">
        <f t="shared" si="6"/>
        <v>15000</v>
      </c>
      <c r="K332" s="49" t="s">
        <v>91</v>
      </c>
      <c r="L332" s="49" t="s">
        <v>176</v>
      </c>
      <c r="N332" s="49" t="s">
        <v>254</v>
      </c>
    </row>
    <row r="333" spans="1:14" ht="27.9" customHeight="1" x14ac:dyDescent="0.3">
      <c r="A333" s="31"/>
      <c r="B333" s="30"/>
      <c r="C333" s="31"/>
      <c r="D333" s="31"/>
      <c r="E333" s="30"/>
      <c r="F333" s="31"/>
      <c r="G333" s="31"/>
      <c r="H333" s="30"/>
      <c r="I333" s="31" t="str">
        <f>IF(F333="","",IF(F333="Tecnicatura en composición coreográfica en ddv fusión","Jime",CONCATENATE(VLOOKUP(G333,OPCIONES!D:E,2,0),VLOOKUP(H333,OPCIONES!$G$2:$H$8,2,0))))</f>
        <v/>
      </c>
      <c r="J333" s="49">
        <f t="shared" si="6"/>
        <v>15000</v>
      </c>
      <c r="K333" s="49" t="s">
        <v>91</v>
      </c>
      <c r="L333" s="49" t="s">
        <v>176</v>
      </c>
      <c r="N333" s="49" t="s">
        <v>254</v>
      </c>
    </row>
    <row r="334" spans="1:14" ht="27.9" customHeight="1" x14ac:dyDescent="0.3">
      <c r="A334" s="31"/>
      <c r="B334" s="30"/>
      <c r="C334" s="31"/>
      <c r="D334" s="31"/>
      <c r="E334" s="30"/>
      <c r="F334" s="31"/>
      <c r="G334" s="31"/>
      <c r="H334" s="30"/>
      <c r="I334" s="31" t="str">
        <f>IF(F334="","",IF(F334="Tecnicatura en composición coreográfica en ddv fusión","Jime",CONCATENATE(VLOOKUP(G334,OPCIONES!D:E,2,0),VLOOKUP(H334,OPCIONES!$G$2:$H$8,2,0))))</f>
        <v/>
      </c>
      <c r="J334" s="49">
        <f t="shared" si="6"/>
        <v>15000</v>
      </c>
      <c r="K334" s="49" t="s">
        <v>91</v>
      </c>
      <c r="L334" s="49" t="s">
        <v>176</v>
      </c>
      <c r="N334" s="49" t="s">
        <v>254</v>
      </c>
    </row>
    <row r="335" spans="1:14" ht="27.9" customHeight="1" x14ac:dyDescent="0.3">
      <c r="A335" s="31"/>
      <c r="B335" s="30"/>
      <c r="C335" s="31"/>
      <c r="D335" s="31"/>
      <c r="E335" s="30"/>
      <c r="F335" s="31"/>
      <c r="G335" s="31"/>
      <c r="H335" s="30"/>
      <c r="I335" s="31" t="str">
        <f>IF(F335="","",IF(F335="Tecnicatura en composición coreográfica en ddv fusión","Jime",CONCATENATE(VLOOKUP(G335,OPCIONES!D:E,2,0),VLOOKUP(H335,OPCIONES!$G$2:$H$8,2,0))))</f>
        <v/>
      </c>
      <c r="J335" s="49">
        <f t="shared" si="6"/>
        <v>15000</v>
      </c>
      <c r="K335" s="49" t="s">
        <v>91</v>
      </c>
      <c r="L335" s="49" t="s">
        <v>176</v>
      </c>
      <c r="N335" s="49" t="s">
        <v>254</v>
      </c>
    </row>
    <row r="336" spans="1:14" ht="27.9" customHeight="1" x14ac:dyDescent="0.3">
      <c r="A336" s="31"/>
      <c r="B336" s="30"/>
      <c r="C336" s="31"/>
      <c r="D336" s="31"/>
      <c r="E336" s="30"/>
      <c r="F336" s="31"/>
      <c r="G336" s="31"/>
      <c r="H336" s="30"/>
      <c r="I336" s="31" t="str">
        <f>IF(F336="","",IF(F336="Tecnicatura en composición coreográfica en ddv fusión","Jime",CONCATENATE(VLOOKUP(G336,OPCIONES!D:E,2,0),VLOOKUP(H336,OPCIONES!$G$2:$H$8,2,0))))</f>
        <v/>
      </c>
      <c r="J336" s="49">
        <f t="shared" si="6"/>
        <v>15000</v>
      </c>
      <c r="K336" s="49" t="s">
        <v>91</v>
      </c>
      <c r="L336" s="49" t="s">
        <v>176</v>
      </c>
      <c r="N336" s="49" t="s">
        <v>254</v>
      </c>
    </row>
    <row r="337" spans="1:14" ht="27.9" customHeight="1" x14ac:dyDescent="0.3">
      <c r="A337" s="31"/>
      <c r="B337" s="30"/>
      <c r="C337" s="31"/>
      <c r="D337" s="31"/>
      <c r="E337" s="30"/>
      <c r="F337" s="31"/>
      <c r="G337" s="31"/>
      <c r="H337" s="30"/>
      <c r="I337" s="31" t="str">
        <f>IF(F337="","",IF(F337="Tecnicatura en composición coreográfica en ddv fusión","Jime",CONCATENATE(VLOOKUP(G337,OPCIONES!D:E,2,0),VLOOKUP(H337,OPCIONES!$G$2:$H$8,2,0))))</f>
        <v/>
      </c>
      <c r="J337" s="49">
        <f t="shared" si="6"/>
        <v>15000</v>
      </c>
      <c r="K337" s="49" t="s">
        <v>91</v>
      </c>
      <c r="L337" s="49" t="s">
        <v>176</v>
      </c>
      <c r="N337" s="49" t="s">
        <v>254</v>
      </c>
    </row>
    <row r="338" spans="1:14" ht="27.9" customHeight="1" x14ac:dyDescent="0.3">
      <c r="A338" s="31"/>
      <c r="B338" s="30"/>
      <c r="C338" s="31"/>
      <c r="D338" s="31"/>
      <c r="E338" s="30"/>
      <c r="F338" s="31"/>
      <c r="G338" s="31"/>
      <c r="H338" s="30"/>
      <c r="I338" s="31" t="str">
        <f>IF(F338="","",IF(F338="Tecnicatura en composición coreográfica en ddv fusión","Jime",CONCATENATE(VLOOKUP(G338,OPCIONES!D:E,2,0),VLOOKUP(H338,OPCIONES!$G$2:$H$8,2,0))))</f>
        <v/>
      </c>
      <c r="J338" s="49">
        <f t="shared" si="6"/>
        <v>15000</v>
      </c>
      <c r="K338" s="49" t="s">
        <v>91</v>
      </c>
      <c r="L338" s="49" t="s">
        <v>176</v>
      </c>
      <c r="N338" s="49" t="s">
        <v>254</v>
      </c>
    </row>
    <row r="339" spans="1:14" ht="27.9" customHeight="1" x14ac:dyDescent="0.3">
      <c r="A339" s="31"/>
      <c r="B339" s="30"/>
      <c r="C339" s="31"/>
      <c r="D339" s="31"/>
      <c r="E339" s="30"/>
      <c r="F339" s="31"/>
      <c r="G339" s="31"/>
      <c r="H339" s="30"/>
      <c r="I339" s="31" t="str">
        <f>IF(F339="","",IF(F339="Tecnicatura en composición coreográfica en ddv fusión","Jime",CONCATENATE(VLOOKUP(G339,OPCIONES!D:E,2,0),VLOOKUP(H339,OPCIONES!$G$2:$H$8,2,0))))</f>
        <v/>
      </c>
      <c r="J339" s="49">
        <f t="shared" si="6"/>
        <v>15000</v>
      </c>
      <c r="K339" s="49" t="s">
        <v>91</v>
      </c>
      <c r="L339" s="49" t="s">
        <v>176</v>
      </c>
      <c r="N339" s="49" t="s">
        <v>254</v>
      </c>
    </row>
    <row r="340" spans="1:14" ht="27.9" customHeight="1" x14ac:dyDescent="0.3">
      <c r="A340" s="31"/>
      <c r="B340" s="30"/>
      <c r="C340" s="31"/>
      <c r="D340" s="31"/>
      <c r="E340" s="30"/>
      <c r="F340" s="31"/>
      <c r="G340" s="31"/>
      <c r="H340" s="30"/>
      <c r="I340" s="31" t="str">
        <f>IF(F340="","",IF(F340="Tecnicatura en composición coreográfica en ddv fusión","Jime",CONCATENATE(VLOOKUP(G340,OPCIONES!D:E,2,0),VLOOKUP(H340,OPCIONES!$G$2:$H$8,2,0))))</f>
        <v/>
      </c>
      <c r="J340" s="49">
        <f t="shared" si="6"/>
        <v>15000</v>
      </c>
      <c r="K340" s="49" t="s">
        <v>91</v>
      </c>
      <c r="L340" s="49" t="s">
        <v>176</v>
      </c>
      <c r="N340" s="49" t="s">
        <v>254</v>
      </c>
    </row>
    <row r="341" spans="1:14" ht="27.9" customHeight="1" x14ac:dyDescent="0.3">
      <c r="A341" s="31"/>
      <c r="B341" s="30"/>
      <c r="C341" s="31"/>
      <c r="D341" s="31"/>
      <c r="E341" s="30"/>
      <c r="F341" s="31"/>
      <c r="G341" s="31"/>
      <c r="H341" s="30"/>
      <c r="I341" s="31" t="str">
        <f>IF(F341="","",IF(F341="Tecnicatura en composición coreográfica en ddv fusión","Jime",CONCATENATE(VLOOKUP(G341,OPCIONES!D:E,2,0),VLOOKUP(H341,OPCIONES!$G$2:$H$8,2,0))))</f>
        <v/>
      </c>
      <c r="J341" s="49">
        <f t="shared" si="6"/>
        <v>15000</v>
      </c>
      <c r="K341" s="49" t="s">
        <v>91</v>
      </c>
      <c r="L341" s="49" t="s">
        <v>176</v>
      </c>
      <c r="N341" s="49" t="s">
        <v>254</v>
      </c>
    </row>
    <row r="342" spans="1:14" ht="27.9" customHeight="1" x14ac:dyDescent="0.3">
      <c r="A342" s="31"/>
      <c r="B342" s="30"/>
      <c r="C342" s="31"/>
      <c r="D342" s="31"/>
      <c r="E342" s="30"/>
      <c r="F342" s="31"/>
      <c r="G342" s="31"/>
      <c r="H342" s="30"/>
      <c r="I342" s="31" t="str">
        <f>IF(F342="","",IF(F342="Tecnicatura en composición coreográfica en ddv fusión","Jime",CONCATENATE(VLOOKUP(G342,OPCIONES!D:E,2,0),VLOOKUP(H342,OPCIONES!$G$2:$H$8,2,0))))</f>
        <v/>
      </c>
      <c r="J342" s="49">
        <f t="shared" si="6"/>
        <v>15000</v>
      </c>
      <c r="K342" s="49" t="s">
        <v>91</v>
      </c>
      <c r="L342" s="49" t="s">
        <v>176</v>
      </c>
      <c r="N342" s="49" t="s">
        <v>254</v>
      </c>
    </row>
    <row r="343" spans="1:14" ht="27.9" customHeight="1" x14ac:dyDescent="0.3">
      <c r="A343" s="31"/>
      <c r="B343" s="30"/>
      <c r="C343" s="31"/>
      <c r="D343" s="31"/>
      <c r="E343" s="30"/>
      <c r="F343" s="31"/>
      <c r="G343" s="31"/>
      <c r="H343" s="30"/>
      <c r="I343" s="31" t="str">
        <f>IF(F343="","",IF(F343="Tecnicatura en composición coreográfica en ddv fusión","Jime",CONCATENATE(VLOOKUP(G343,OPCIONES!D:E,2,0),VLOOKUP(H343,OPCIONES!$G$2:$H$8,2,0))))</f>
        <v/>
      </c>
      <c r="J343" s="49">
        <f t="shared" si="6"/>
        <v>15000</v>
      </c>
      <c r="K343" s="49" t="s">
        <v>91</v>
      </c>
      <c r="L343" s="49" t="s">
        <v>176</v>
      </c>
      <c r="N343" s="49" t="s">
        <v>254</v>
      </c>
    </row>
    <row r="344" spans="1:14" ht="27.9" customHeight="1" x14ac:dyDescent="0.3">
      <c r="A344" s="31"/>
      <c r="B344" s="30"/>
      <c r="C344" s="31"/>
      <c r="D344" s="31"/>
      <c r="E344" s="30"/>
      <c r="F344" s="31"/>
      <c r="G344" s="31"/>
      <c r="H344" s="30"/>
      <c r="I344" s="31" t="str">
        <f>IF(F344="","",IF(F344="Tecnicatura en composición coreográfica en ddv fusión","Jime",CONCATENATE(VLOOKUP(G344,OPCIONES!D:E,2,0),VLOOKUP(H344,OPCIONES!$G$2:$H$8,2,0))))</f>
        <v/>
      </c>
      <c r="J344" s="49">
        <f t="shared" si="6"/>
        <v>15000</v>
      </c>
      <c r="K344" s="49" t="s">
        <v>91</v>
      </c>
      <c r="L344" s="49" t="s">
        <v>176</v>
      </c>
      <c r="N344" s="49" t="s">
        <v>254</v>
      </c>
    </row>
    <row r="345" spans="1:14" ht="27.9" customHeight="1" x14ac:dyDescent="0.3">
      <c r="A345" s="31"/>
      <c r="B345" s="30"/>
      <c r="C345" s="31"/>
      <c r="D345" s="31"/>
      <c r="E345" s="30"/>
      <c r="F345" s="31"/>
      <c r="G345" s="31"/>
      <c r="H345" s="30"/>
      <c r="I345" s="31" t="str">
        <f>IF(F345="","",IF(F345="Tecnicatura en composición coreográfica en ddv fusión","Jime",CONCATENATE(VLOOKUP(G345,OPCIONES!D:E,2,0),VLOOKUP(H345,OPCIONES!$G$2:$H$8,2,0))))</f>
        <v/>
      </c>
      <c r="J345" s="49">
        <f t="shared" si="6"/>
        <v>15000</v>
      </c>
      <c r="K345" s="49" t="s">
        <v>91</v>
      </c>
      <c r="L345" s="49" t="s">
        <v>176</v>
      </c>
      <c r="N345" s="49" t="s">
        <v>254</v>
      </c>
    </row>
    <row r="346" spans="1:14" ht="27.9" customHeight="1" x14ac:dyDescent="0.3">
      <c r="A346" s="31"/>
      <c r="B346" s="30"/>
      <c r="C346" s="31"/>
      <c r="D346" s="31"/>
      <c r="E346" s="30"/>
      <c r="F346" s="31"/>
      <c r="G346" s="31"/>
      <c r="H346" s="30"/>
      <c r="I346" s="31" t="str">
        <f>IF(F346="","",IF(F346="Tecnicatura en composición coreográfica en ddv fusión","Jime",CONCATENATE(VLOOKUP(G346,OPCIONES!D:E,2,0),VLOOKUP(H346,OPCIONES!$G$2:$H$8,2,0))))</f>
        <v/>
      </c>
      <c r="J346" s="49">
        <f t="shared" si="6"/>
        <v>15000</v>
      </c>
      <c r="K346" s="49" t="s">
        <v>91</v>
      </c>
      <c r="L346" s="49" t="s">
        <v>176</v>
      </c>
      <c r="N346" s="49" t="s">
        <v>254</v>
      </c>
    </row>
    <row r="347" spans="1:14" ht="27.9" customHeight="1" x14ac:dyDescent="0.3">
      <c r="A347" s="31"/>
      <c r="B347" s="30"/>
      <c r="C347" s="31"/>
      <c r="D347" s="31"/>
      <c r="E347" s="30"/>
      <c r="F347" s="31"/>
      <c r="G347" s="31"/>
      <c r="H347" s="30"/>
      <c r="I347" s="31" t="str">
        <f>IF(F347="","",IF(F347="Tecnicatura en composición coreográfica en ddv fusión","Jime",CONCATENATE(VLOOKUP(G347,OPCIONES!D:E,2,0),VLOOKUP(H347,OPCIONES!$G$2:$H$8,2,0))))</f>
        <v/>
      </c>
      <c r="J347" s="49">
        <f t="shared" si="6"/>
        <v>15000</v>
      </c>
      <c r="K347" s="49" t="s">
        <v>91</v>
      </c>
      <c r="L347" s="49" t="s">
        <v>176</v>
      </c>
      <c r="N347" s="49" t="s">
        <v>254</v>
      </c>
    </row>
    <row r="348" spans="1:14" ht="27.9" customHeight="1" x14ac:dyDescent="0.3">
      <c r="A348" s="31"/>
      <c r="B348" s="30"/>
      <c r="C348" s="31"/>
      <c r="D348" s="31"/>
      <c r="E348" s="30"/>
      <c r="F348" s="31"/>
      <c r="G348" s="31"/>
      <c r="H348" s="30"/>
      <c r="I348" s="31" t="str">
        <f>IF(F348="","",IF(F348="Tecnicatura en composición coreográfica en ddv fusión","Jime",CONCATENATE(VLOOKUP(G348,OPCIONES!D:E,2,0),VLOOKUP(H348,OPCIONES!$G$2:$H$8,2,0))))</f>
        <v/>
      </c>
      <c r="J348" s="49">
        <f t="shared" si="6"/>
        <v>15000</v>
      </c>
      <c r="K348" s="49" t="s">
        <v>91</v>
      </c>
      <c r="L348" s="49" t="s">
        <v>176</v>
      </c>
      <c r="N348" s="49" t="s">
        <v>254</v>
      </c>
    </row>
    <row r="349" spans="1:14" ht="27.9" customHeight="1" x14ac:dyDescent="0.3">
      <c r="A349" s="31"/>
      <c r="B349" s="30"/>
      <c r="C349" s="31"/>
      <c r="D349" s="31"/>
      <c r="E349" s="30"/>
      <c r="F349" s="31"/>
      <c r="G349" s="31"/>
      <c r="H349" s="30"/>
      <c r="I349" s="31" t="str">
        <f>IF(F349="","",IF(F349="Tecnicatura en composición coreográfica en ddv fusión","Jime",CONCATENATE(VLOOKUP(G349,OPCIONES!D:E,2,0),VLOOKUP(H349,OPCIONES!$G$2:$H$8,2,0))))</f>
        <v/>
      </c>
      <c r="J349" s="49">
        <f t="shared" si="6"/>
        <v>15000</v>
      </c>
      <c r="K349" s="49" t="s">
        <v>91</v>
      </c>
      <c r="L349" s="49" t="s">
        <v>176</v>
      </c>
      <c r="N349" s="49" t="s">
        <v>254</v>
      </c>
    </row>
    <row r="350" spans="1:14" ht="27.9" customHeight="1" x14ac:dyDescent="0.3">
      <c r="A350" s="31"/>
      <c r="B350" s="30"/>
      <c r="C350" s="31"/>
      <c r="D350" s="31"/>
      <c r="E350" s="30"/>
      <c r="F350" s="31"/>
      <c r="G350" s="31"/>
      <c r="H350" s="30"/>
      <c r="I350" s="31" t="str">
        <f>IF(F350="","",IF(F350="Tecnicatura en composición coreográfica en ddv fusión","Jime",CONCATENATE(VLOOKUP(G350,OPCIONES!D:E,2,0),VLOOKUP(H350,OPCIONES!$G$2:$H$8,2,0))))</f>
        <v/>
      </c>
      <c r="J350" s="49">
        <f t="shared" si="6"/>
        <v>15000</v>
      </c>
      <c r="K350" s="49" t="s">
        <v>91</v>
      </c>
      <c r="L350" s="49" t="s">
        <v>176</v>
      </c>
      <c r="N350" s="49" t="s">
        <v>254</v>
      </c>
    </row>
    <row r="351" spans="1:14" ht="27.9" customHeight="1" x14ac:dyDescent="0.3">
      <c r="A351" s="31"/>
      <c r="B351" s="30"/>
      <c r="C351" s="31"/>
      <c r="D351" s="31"/>
      <c r="E351" s="30"/>
      <c r="F351" s="31"/>
      <c r="G351" s="31"/>
      <c r="H351" s="30"/>
      <c r="I351" s="31" t="str">
        <f>IF(F351="","",IF(F351="Tecnicatura en composición coreográfica en ddv fusión","Jime",CONCATENATE(VLOOKUP(G351,OPCIONES!D:E,2,0),VLOOKUP(H351,OPCIONES!$G$2:$H$8,2,0))))</f>
        <v/>
      </c>
      <c r="J351" s="49">
        <f t="shared" si="6"/>
        <v>15000</v>
      </c>
      <c r="K351" s="49" t="s">
        <v>91</v>
      </c>
      <c r="L351" s="49" t="s">
        <v>176</v>
      </c>
      <c r="N351" s="49" t="s">
        <v>254</v>
      </c>
    </row>
    <row r="352" spans="1:14" ht="27.9" customHeight="1" x14ac:dyDescent="0.3">
      <c r="A352" s="31"/>
      <c r="B352" s="30"/>
      <c r="C352" s="31"/>
      <c r="D352" s="31"/>
      <c r="E352" s="30"/>
      <c r="F352" s="31"/>
      <c r="G352" s="31"/>
      <c r="H352" s="30"/>
      <c r="I352" s="31" t="str">
        <f>IF(F352="","",IF(F352="Tecnicatura en composición coreográfica en ddv fusión","Jime",CONCATENATE(VLOOKUP(G352,OPCIONES!D:E,2,0),VLOOKUP(H352,OPCIONES!$G$2:$H$8,2,0))))</f>
        <v/>
      </c>
      <c r="J352" s="49">
        <f t="shared" si="6"/>
        <v>15000</v>
      </c>
      <c r="K352" s="49" t="s">
        <v>91</v>
      </c>
      <c r="L352" s="49" t="s">
        <v>176</v>
      </c>
      <c r="N352" s="49" t="s">
        <v>254</v>
      </c>
    </row>
    <row r="353" spans="1:14" ht="27.9" customHeight="1" x14ac:dyDescent="0.3">
      <c r="A353" s="31"/>
      <c r="B353" s="30"/>
      <c r="C353" s="31"/>
      <c r="D353" s="31"/>
      <c r="E353" s="30"/>
      <c r="F353" s="31"/>
      <c r="G353" s="31"/>
      <c r="H353" s="30"/>
      <c r="I353" s="31" t="str">
        <f>IF(F353="","",IF(F353="Tecnicatura en composición coreográfica en ddv fusión","Jime",CONCATENATE(VLOOKUP(G353,OPCIONES!D:E,2,0),VLOOKUP(H353,OPCIONES!$G$2:$H$8,2,0))))</f>
        <v/>
      </c>
      <c r="J353" s="49">
        <f t="shared" si="6"/>
        <v>15000</v>
      </c>
      <c r="K353" s="49" t="s">
        <v>91</v>
      </c>
      <c r="L353" s="49" t="s">
        <v>176</v>
      </c>
      <c r="N353" s="49" t="s">
        <v>254</v>
      </c>
    </row>
    <row r="354" spans="1:14" ht="27.9" customHeight="1" x14ac:dyDescent="0.3">
      <c r="A354" s="31"/>
      <c r="B354" s="30"/>
      <c r="C354" s="31"/>
      <c r="D354" s="31"/>
      <c r="E354" s="30"/>
      <c r="F354" s="31"/>
      <c r="G354" s="31"/>
      <c r="H354" s="30"/>
      <c r="I354" s="31" t="str">
        <f>IF(F354="","",IF(F354="Tecnicatura en composición coreográfica en ddv fusión","Jime",CONCATENATE(VLOOKUP(G354,OPCIONES!D:E,2,0),VLOOKUP(H354,OPCIONES!$G$2:$H$8,2,0))))</f>
        <v/>
      </c>
      <c r="J354" s="49">
        <f t="shared" si="6"/>
        <v>15000</v>
      </c>
      <c r="K354" s="49" t="s">
        <v>91</v>
      </c>
      <c r="L354" s="49" t="s">
        <v>176</v>
      </c>
      <c r="N354" s="49" t="s">
        <v>254</v>
      </c>
    </row>
    <row r="355" spans="1:14" ht="27.9" customHeight="1" x14ac:dyDescent="0.3">
      <c r="A355" s="31"/>
      <c r="B355" s="30"/>
      <c r="C355" s="31"/>
      <c r="D355" s="31"/>
      <c r="E355" s="30"/>
      <c r="F355" s="31"/>
      <c r="G355" s="31"/>
      <c r="H355" s="30"/>
      <c r="I355" s="31" t="str">
        <f>IF(F355="","",IF(F355="Tecnicatura en composición coreográfica en ddv fusión","Jime",CONCATENATE(VLOOKUP(G355,OPCIONES!D:E,2,0),VLOOKUP(H355,OPCIONES!$G$2:$H$8,2,0))))</f>
        <v/>
      </c>
      <c r="J355" s="49">
        <f t="shared" si="6"/>
        <v>15000</v>
      </c>
      <c r="K355" s="49" t="s">
        <v>91</v>
      </c>
      <c r="L355" s="49" t="s">
        <v>176</v>
      </c>
      <c r="N355" s="49" t="s">
        <v>254</v>
      </c>
    </row>
    <row r="356" spans="1:14" ht="27.9" customHeight="1" x14ac:dyDescent="0.3">
      <c r="A356" s="31"/>
      <c r="B356" s="30"/>
      <c r="C356" s="31"/>
      <c r="D356" s="31"/>
      <c r="E356" s="30"/>
      <c r="F356" s="31"/>
      <c r="G356" s="31"/>
      <c r="H356" s="30"/>
      <c r="I356" s="31" t="str">
        <f>IF(F356="","",IF(F356="Tecnicatura en composición coreográfica en ddv fusión","Jime",CONCATENATE(VLOOKUP(G356,OPCIONES!D:E,2,0),VLOOKUP(H356,OPCIONES!$G$2:$H$8,2,0))))</f>
        <v/>
      </c>
      <c r="J356" s="49">
        <f t="shared" si="6"/>
        <v>15000</v>
      </c>
      <c r="K356" s="49" t="s">
        <v>91</v>
      </c>
      <c r="L356" s="49" t="s">
        <v>176</v>
      </c>
      <c r="N356" s="49" t="s">
        <v>254</v>
      </c>
    </row>
    <row r="357" spans="1:14" ht="27.9" customHeight="1" x14ac:dyDescent="0.3">
      <c r="A357" s="31"/>
      <c r="B357" s="30"/>
      <c r="C357" s="31"/>
      <c r="D357" s="31"/>
      <c r="E357" s="30"/>
      <c r="F357" s="31"/>
      <c r="G357" s="31"/>
      <c r="H357" s="30"/>
      <c r="I357" s="31" t="str">
        <f>IF(F357="","",IF(F357="Tecnicatura en composición coreográfica en ddv fusión","Jime",CONCATENATE(VLOOKUP(G357,OPCIONES!D:E,2,0),VLOOKUP(H357,OPCIONES!$G$2:$H$8,2,0))))</f>
        <v/>
      </c>
      <c r="J357" s="49">
        <f t="shared" si="6"/>
        <v>15000</v>
      </c>
      <c r="K357" s="49" t="s">
        <v>91</v>
      </c>
      <c r="L357" s="49" t="s">
        <v>176</v>
      </c>
      <c r="N357" s="49" t="s">
        <v>254</v>
      </c>
    </row>
    <row r="358" spans="1:14" ht="27.9" customHeight="1" x14ac:dyDescent="0.3">
      <c r="A358" s="31"/>
      <c r="B358" s="30"/>
      <c r="C358" s="31"/>
      <c r="D358" s="31"/>
      <c r="E358" s="30"/>
      <c r="F358" s="31"/>
      <c r="G358" s="31"/>
      <c r="H358" s="30"/>
      <c r="I358" s="31" t="str">
        <f>IF(F358="","",IF(F358="Tecnicatura en composición coreográfica en ddv fusión","Jime",CONCATENATE(VLOOKUP(G358,OPCIONES!D:E,2,0),VLOOKUP(H358,OPCIONES!$G$2:$H$8,2,0))))</f>
        <v/>
      </c>
      <c r="J358" s="49">
        <f t="shared" si="6"/>
        <v>15000</v>
      </c>
      <c r="K358" s="49" t="s">
        <v>91</v>
      </c>
      <c r="L358" s="49" t="s">
        <v>176</v>
      </c>
      <c r="N358" s="49" t="s">
        <v>254</v>
      </c>
    </row>
    <row r="359" spans="1:14" ht="27.9" customHeight="1" x14ac:dyDescent="0.3">
      <c r="A359" s="31"/>
      <c r="B359" s="30"/>
      <c r="C359" s="31"/>
      <c r="D359" s="31"/>
      <c r="E359" s="30"/>
      <c r="F359" s="31"/>
      <c r="G359" s="31"/>
      <c r="H359" s="30"/>
      <c r="I359" s="31" t="str">
        <f>IF(F359="","",IF(F359="Tecnicatura en composición coreográfica en ddv fusión","Jime",CONCATENATE(VLOOKUP(G359,OPCIONES!D:E,2,0),VLOOKUP(H359,OPCIONES!$G$2:$H$8,2,0))))</f>
        <v/>
      </c>
      <c r="J359" s="49">
        <f t="shared" si="6"/>
        <v>15000</v>
      </c>
      <c r="K359" s="49" t="s">
        <v>91</v>
      </c>
      <c r="L359" s="49" t="s">
        <v>176</v>
      </c>
      <c r="N359" s="49" t="s">
        <v>254</v>
      </c>
    </row>
    <row r="360" spans="1:14" ht="27.9" customHeight="1" x14ac:dyDescent="0.3">
      <c r="A360" s="31"/>
      <c r="B360" s="30"/>
      <c r="C360" s="31"/>
      <c r="D360" s="31"/>
      <c r="E360" s="30"/>
      <c r="F360" s="31"/>
      <c r="G360" s="31"/>
      <c r="H360" s="30"/>
      <c r="I360" s="31" t="str">
        <f>IF(F360="","",IF(F360="Tecnicatura en composición coreográfica en ddv fusión","Jime",CONCATENATE(VLOOKUP(G360,OPCIONES!D:E,2,0),VLOOKUP(H360,OPCIONES!$G$2:$H$8,2,0))))</f>
        <v/>
      </c>
      <c r="J360" s="49">
        <f t="shared" si="6"/>
        <v>15000</v>
      </c>
      <c r="K360" s="49" t="s">
        <v>91</v>
      </c>
      <c r="L360" s="49" t="s">
        <v>176</v>
      </c>
      <c r="N360" s="49" t="s">
        <v>254</v>
      </c>
    </row>
    <row r="361" spans="1:14" ht="27.9" customHeight="1" x14ac:dyDescent="0.3">
      <c r="A361" s="31"/>
      <c r="B361" s="30"/>
      <c r="C361" s="31"/>
      <c r="D361" s="31"/>
      <c r="E361" s="30"/>
      <c r="F361" s="31"/>
      <c r="G361" s="31"/>
      <c r="H361" s="30"/>
      <c r="I361" s="31" t="str">
        <f>IF(F361="","",IF(F361="Tecnicatura en composición coreográfica en ddv fusión","Jime",CONCATENATE(VLOOKUP(G361,OPCIONES!D:E,2,0),VLOOKUP(H361,OPCIONES!$G$2:$H$8,2,0))))</f>
        <v/>
      </c>
      <c r="J361" s="49">
        <f t="shared" si="6"/>
        <v>15000</v>
      </c>
      <c r="K361" s="49" t="s">
        <v>91</v>
      </c>
      <c r="L361" s="49" t="s">
        <v>176</v>
      </c>
      <c r="N361" s="49" t="s">
        <v>254</v>
      </c>
    </row>
    <row r="362" spans="1:14" ht="27.9" customHeight="1" x14ac:dyDescent="0.3">
      <c r="A362" s="31"/>
      <c r="B362" s="30"/>
      <c r="C362" s="31"/>
      <c r="D362" s="31"/>
      <c r="E362" s="30"/>
      <c r="F362" s="31"/>
      <c r="G362" s="31"/>
      <c r="H362" s="30"/>
      <c r="I362" s="31" t="str">
        <f>IF(F362="","",IF(F362="Tecnicatura en composición coreográfica en ddv fusión","Jime",CONCATENATE(VLOOKUP(G362,OPCIONES!D:E,2,0),VLOOKUP(H362,OPCIONES!$G$2:$H$8,2,0))))</f>
        <v/>
      </c>
      <c r="J362" s="49">
        <f t="shared" si="6"/>
        <v>15000</v>
      </c>
      <c r="K362" s="49" t="s">
        <v>91</v>
      </c>
      <c r="L362" s="49" t="s">
        <v>176</v>
      </c>
      <c r="N362" s="49" t="s">
        <v>254</v>
      </c>
    </row>
    <row r="363" spans="1:14" ht="27.9" customHeight="1" x14ac:dyDescent="0.3">
      <c r="A363" s="31"/>
      <c r="B363" s="30"/>
      <c r="C363" s="31"/>
      <c r="D363" s="31"/>
      <c r="E363" s="30"/>
      <c r="F363" s="31"/>
      <c r="G363" s="31"/>
      <c r="H363" s="30"/>
      <c r="I363" s="31" t="str">
        <f>IF(F363="","",IF(F363="Tecnicatura en composición coreográfica en ddv fusión","Jime",CONCATENATE(VLOOKUP(G363,OPCIONES!D:E,2,0),VLOOKUP(H363,OPCIONES!$G$2:$H$8,2,0))))</f>
        <v/>
      </c>
      <c r="J363" s="49">
        <f t="shared" si="6"/>
        <v>15000</v>
      </c>
      <c r="K363" s="49" t="s">
        <v>91</v>
      </c>
      <c r="L363" s="49" t="s">
        <v>176</v>
      </c>
      <c r="N363" s="49" t="s">
        <v>254</v>
      </c>
    </row>
    <row r="364" spans="1:14" ht="27.9" customHeight="1" x14ac:dyDescent="0.3">
      <c r="A364" s="31"/>
      <c r="B364" s="30"/>
      <c r="C364" s="31"/>
      <c r="D364" s="31"/>
      <c r="E364" s="30"/>
      <c r="F364" s="31"/>
      <c r="G364" s="31"/>
      <c r="H364" s="30"/>
      <c r="I364" s="31" t="str">
        <f>IF(F364="","",IF(F364="Tecnicatura en composición coreográfica en ddv fusión","Jime",CONCATENATE(VLOOKUP(G364,OPCIONES!D:E,2,0),VLOOKUP(H364,OPCIONES!$G$2:$H$8,2,0))))</f>
        <v/>
      </c>
      <c r="J364" s="49">
        <f t="shared" si="6"/>
        <v>15000</v>
      </c>
      <c r="K364" s="49" t="s">
        <v>91</v>
      </c>
      <c r="L364" s="49" t="s">
        <v>176</v>
      </c>
      <c r="N364" s="49" t="s">
        <v>254</v>
      </c>
    </row>
    <row r="365" spans="1:14" ht="27.9" customHeight="1" x14ac:dyDescent="0.3">
      <c r="A365" s="31"/>
      <c r="B365" s="30"/>
      <c r="C365" s="31"/>
      <c r="D365" s="31"/>
      <c r="E365" s="30"/>
      <c r="F365" s="31"/>
      <c r="G365" s="31"/>
      <c r="H365" s="30"/>
      <c r="I365" s="31" t="str">
        <f>IF(F365="","",IF(F365="Tecnicatura en composición coreográfica en ddv fusión","Jime",CONCATENATE(VLOOKUP(G365,OPCIONES!D:E,2,0),VLOOKUP(H365,OPCIONES!$G$2:$H$8,2,0))))</f>
        <v/>
      </c>
      <c r="J365" s="49">
        <f t="shared" si="6"/>
        <v>15000</v>
      </c>
      <c r="K365" s="49" t="s">
        <v>91</v>
      </c>
      <c r="L365" s="49" t="s">
        <v>176</v>
      </c>
      <c r="N365" s="49" t="s">
        <v>254</v>
      </c>
    </row>
    <row r="366" spans="1:14" ht="27.9" customHeight="1" x14ac:dyDescent="0.3">
      <c r="A366" s="31"/>
      <c r="B366" s="30"/>
      <c r="C366" s="31"/>
      <c r="D366" s="31"/>
      <c r="E366" s="30"/>
      <c r="F366" s="31"/>
      <c r="G366" s="31"/>
      <c r="H366" s="30"/>
      <c r="I366" s="31" t="str">
        <f>IF(F366="","",IF(F366="Tecnicatura en composición coreográfica en ddv fusión","Jime",CONCATENATE(VLOOKUP(G366,OPCIONES!D:E,2,0),VLOOKUP(H366,OPCIONES!$G$2:$H$8,2,0))))</f>
        <v/>
      </c>
      <c r="J366" s="49">
        <f t="shared" si="6"/>
        <v>15000</v>
      </c>
      <c r="K366" s="49" t="s">
        <v>91</v>
      </c>
      <c r="L366" s="49" t="s">
        <v>176</v>
      </c>
      <c r="N366" s="49" t="s">
        <v>254</v>
      </c>
    </row>
    <row r="367" spans="1:14" ht="27.9" customHeight="1" x14ac:dyDescent="0.3">
      <c r="A367" s="31"/>
      <c r="B367" s="30"/>
      <c r="C367" s="31"/>
      <c r="D367" s="31"/>
      <c r="E367" s="30"/>
      <c r="F367" s="31"/>
      <c r="G367" s="31"/>
      <c r="H367" s="30"/>
      <c r="I367" s="31" t="str">
        <f>IF(F367="","",IF(F367="Tecnicatura en composición coreográfica en ddv fusión","Jime",CONCATENATE(VLOOKUP(G367,OPCIONES!D:E,2,0),VLOOKUP(H367,OPCIONES!$G$2:$H$8,2,0))))</f>
        <v/>
      </c>
      <c r="J367" s="49">
        <f t="shared" si="6"/>
        <v>15000</v>
      </c>
      <c r="K367" s="49" t="s">
        <v>91</v>
      </c>
      <c r="L367" s="49" t="s">
        <v>176</v>
      </c>
      <c r="N367" s="49" t="s">
        <v>254</v>
      </c>
    </row>
    <row r="368" spans="1:14" ht="27.9" customHeight="1" x14ac:dyDescent="0.3">
      <c r="A368" s="31"/>
      <c r="B368" s="30"/>
      <c r="C368" s="31"/>
      <c r="D368" s="31"/>
      <c r="E368" s="30"/>
      <c r="F368" s="31"/>
      <c r="G368" s="31"/>
      <c r="H368" s="30"/>
      <c r="I368" s="31" t="str">
        <f>IF(F368="","",IF(F368="Tecnicatura en composición coreográfica en ddv fusión","Jime",CONCATENATE(VLOOKUP(G368,OPCIONES!D:E,2,0),VLOOKUP(H368,OPCIONES!$G$2:$H$8,2,0))))</f>
        <v/>
      </c>
      <c r="J368" s="49">
        <f t="shared" si="6"/>
        <v>15000</v>
      </c>
      <c r="K368" s="49" t="s">
        <v>91</v>
      </c>
      <c r="L368" s="49" t="s">
        <v>176</v>
      </c>
      <c r="N368" s="49" t="s">
        <v>254</v>
      </c>
    </row>
    <row r="369" spans="1:14" ht="27.9" customHeight="1" x14ac:dyDescent="0.3">
      <c r="A369" s="31"/>
      <c r="B369" s="30"/>
      <c r="C369" s="31"/>
      <c r="D369" s="31"/>
      <c r="E369" s="30"/>
      <c r="F369" s="31"/>
      <c r="G369" s="31"/>
      <c r="H369" s="30"/>
      <c r="I369" s="31" t="str">
        <f>IF(F369="","",IF(F369="Tecnicatura en composición coreográfica en ddv fusión","Jime",CONCATENATE(VLOOKUP(G369,OPCIONES!D:E,2,0),VLOOKUP(H369,OPCIONES!$G$2:$H$8,2,0))))</f>
        <v/>
      </c>
      <c r="J369" s="49">
        <f t="shared" si="6"/>
        <v>15000</v>
      </c>
      <c r="K369" s="49" t="s">
        <v>91</v>
      </c>
      <c r="L369" s="49" t="s">
        <v>176</v>
      </c>
      <c r="N369" s="49" t="s">
        <v>254</v>
      </c>
    </row>
    <row r="370" spans="1:14" ht="27.9" customHeight="1" x14ac:dyDescent="0.3">
      <c r="A370" s="31"/>
      <c r="B370" s="30"/>
      <c r="C370" s="31"/>
      <c r="D370" s="31"/>
      <c r="E370" s="30"/>
      <c r="F370" s="31"/>
      <c r="G370" s="31"/>
      <c r="H370" s="30"/>
      <c r="I370" s="31" t="str">
        <f>IF(F370="","",IF(F370="Tecnicatura en composición coreográfica en ddv fusión","Jime",CONCATENATE(VLOOKUP(G370,OPCIONES!D:E,2,0),VLOOKUP(H370,OPCIONES!$G$2:$H$8,2,0))))</f>
        <v/>
      </c>
      <c r="J370" s="49">
        <f t="shared" si="6"/>
        <v>15000</v>
      </c>
      <c r="K370" s="49" t="s">
        <v>91</v>
      </c>
      <c r="L370" s="49" t="s">
        <v>176</v>
      </c>
      <c r="N370" s="49" t="s">
        <v>254</v>
      </c>
    </row>
    <row r="371" spans="1:14" ht="27.9" customHeight="1" x14ac:dyDescent="0.3">
      <c r="A371" s="31"/>
      <c r="B371" s="30"/>
      <c r="C371" s="31"/>
      <c r="D371" s="31"/>
      <c r="E371" s="30"/>
      <c r="F371" s="31"/>
      <c r="G371" s="31"/>
      <c r="H371" s="30"/>
      <c r="I371" s="31" t="str">
        <f>IF(F371="","",IF(F371="Tecnicatura en composición coreográfica en ddv fusión","Jime",CONCATENATE(VLOOKUP(G371,OPCIONES!D:E,2,0),VLOOKUP(H371,OPCIONES!$G$2:$H$8,2,0))))</f>
        <v/>
      </c>
      <c r="J371" s="49">
        <f t="shared" si="6"/>
        <v>15000</v>
      </c>
      <c r="K371" s="49" t="s">
        <v>91</v>
      </c>
      <c r="L371" s="49" t="s">
        <v>176</v>
      </c>
      <c r="N371" s="49" t="s">
        <v>254</v>
      </c>
    </row>
    <row r="372" spans="1:14" ht="27.9" customHeight="1" x14ac:dyDescent="0.3">
      <c r="A372" s="31"/>
      <c r="B372" s="30"/>
      <c r="C372" s="31"/>
      <c r="D372" s="31"/>
      <c r="E372" s="30"/>
      <c r="F372" s="31"/>
      <c r="G372" s="31"/>
      <c r="H372" s="30"/>
      <c r="I372" s="31" t="str">
        <f>IF(F372="","",IF(F372="Tecnicatura en composición coreográfica en ddv fusión","Jime",CONCATENATE(VLOOKUP(G372,OPCIONES!D:E,2,0),VLOOKUP(H372,OPCIONES!$G$2:$H$8,2,0))))</f>
        <v/>
      </c>
      <c r="J372" s="49">
        <f t="shared" si="6"/>
        <v>15000</v>
      </c>
      <c r="K372" s="49" t="s">
        <v>91</v>
      </c>
      <c r="L372" s="49" t="s">
        <v>176</v>
      </c>
      <c r="N372" s="49" t="s">
        <v>254</v>
      </c>
    </row>
    <row r="373" spans="1:14" ht="27.9" customHeight="1" x14ac:dyDescent="0.3">
      <c r="A373" s="31"/>
      <c r="B373" s="30"/>
      <c r="C373" s="31"/>
      <c r="D373" s="31"/>
      <c r="E373" s="30"/>
      <c r="F373" s="31"/>
      <c r="G373" s="31"/>
      <c r="H373" s="30"/>
      <c r="I373" s="31" t="str">
        <f>IF(F373="","",IF(F373="Tecnicatura en composición coreográfica en ddv fusión","Jime",CONCATENATE(VLOOKUP(G373,OPCIONES!D:E,2,0),VLOOKUP(H373,OPCIONES!$G$2:$H$8,2,0))))</f>
        <v/>
      </c>
      <c r="J373" s="49">
        <f t="shared" si="6"/>
        <v>15000</v>
      </c>
      <c r="K373" s="49" t="s">
        <v>91</v>
      </c>
      <c r="L373" s="49" t="s">
        <v>176</v>
      </c>
      <c r="N373" s="49" t="s">
        <v>254</v>
      </c>
    </row>
    <row r="374" spans="1:14" ht="27.9" customHeight="1" x14ac:dyDescent="0.3">
      <c r="A374" s="31"/>
      <c r="B374" s="30"/>
      <c r="C374" s="31"/>
      <c r="D374" s="31"/>
      <c r="E374" s="30"/>
      <c r="F374" s="31"/>
      <c r="G374" s="31"/>
      <c r="H374" s="30"/>
      <c r="I374" s="31" t="str">
        <f>IF(F374="","",IF(F374="Tecnicatura en composición coreográfica en ddv fusión","Jime",CONCATENATE(VLOOKUP(G374,OPCIONES!D:E,2,0),VLOOKUP(H374,OPCIONES!$G$2:$H$8,2,0))))</f>
        <v/>
      </c>
      <c r="J374" s="49">
        <f t="shared" si="6"/>
        <v>15000</v>
      </c>
      <c r="K374" s="49" t="s">
        <v>91</v>
      </c>
      <c r="L374" s="49" t="s">
        <v>176</v>
      </c>
      <c r="N374" s="49" t="s">
        <v>254</v>
      </c>
    </row>
    <row r="375" spans="1:14" ht="27.9" customHeight="1" x14ac:dyDescent="0.3">
      <c r="A375" s="31"/>
      <c r="B375" s="30"/>
      <c r="C375" s="31"/>
      <c r="D375" s="31"/>
      <c r="E375" s="30"/>
      <c r="F375" s="31"/>
      <c r="G375" s="31"/>
      <c r="H375" s="30"/>
      <c r="I375" s="31" t="str">
        <f>IF(F375="","",IF(F375="Tecnicatura en composición coreográfica en ddv fusión","Jime",CONCATENATE(VLOOKUP(G375,OPCIONES!D:E,2,0),VLOOKUP(H375,OPCIONES!$G$2:$H$8,2,0))))</f>
        <v/>
      </c>
      <c r="J375" s="49">
        <f t="shared" si="6"/>
        <v>15000</v>
      </c>
      <c r="K375" s="49" t="s">
        <v>91</v>
      </c>
      <c r="L375" s="49" t="s">
        <v>176</v>
      </c>
      <c r="N375" s="49" t="s">
        <v>254</v>
      </c>
    </row>
    <row r="376" spans="1:14" ht="27.9" customHeight="1" x14ac:dyDescent="0.3">
      <c r="A376" s="31"/>
      <c r="B376" s="30"/>
      <c r="C376" s="31"/>
      <c r="D376" s="31"/>
      <c r="E376" s="30"/>
      <c r="F376" s="31"/>
      <c r="G376" s="31"/>
      <c r="H376" s="30"/>
      <c r="I376" s="31" t="str">
        <f>IF(F376="","",IF(F376="Tecnicatura en composición coreográfica en ddv fusión","Jime",CONCATENATE(VLOOKUP(G376,OPCIONES!D:E,2,0),VLOOKUP(H376,OPCIONES!$G$2:$H$8,2,0))))</f>
        <v/>
      </c>
      <c r="J376" s="49">
        <f t="shared" si="6"/>
        <v>15000</v>
      </c>
      <c r="K376" s="49" t="s">
        <v>91</v>
      </c>
      <c r="L376" s="49" t="s">
        <v>176</v>
      </c>
      <c r="N376" s="49" t="s">
        <v>254</v>
      </c>
    </row>
    <row r="377" spans="1:14" ht="27.9" customHeight="1" x14ac:dyDescent="0.3">
      <c r="A377" s="31"/>
      <c r="B377" s="30"/>
      <c r="C377" s="31"/>
      <c r="D377" s="31"/>
      <c r="E377" s="30"/>
      <c r="F377" s="31"/>
      <c r="G377" s="31"/>
      <c r="H377" s="30"/>
      <c r="I377" s="31" t="str">
        <f>IF(F377="","",IF(F377="Tecnicatura en composición coreográfica en ddv fusión","Jime",CONCATENATE(VLOOKUP(G377,OPCIONES!D:E,2,0),VLOOKUP(H377,OPCIONES!$G$2:$H$8,2,0))))</f>
        <v/>
      </c>
      <c r="J377" s="49">
        <f t="shared" si="6"/>
        <v>15000</v>
      </c>
      <c r="K377" s="49" t="s">
        <v>91</v>
      </c>
      <c r="L377" s="49" t="s">
        <v>176</v>
      </c>
      <c r="N377" s="49" t="s">
        <v>254</v>
      </c>
    </row>
    <row r="378" spans="1:14" ht="27.9" customHeight="1" x14ac:dyDescent="0.3">
      <c r="A378" s="31"/>
      <c r="B378" s="30"/>
      <c r="C378" s="31"/>
      <c r="D378" s="31"/>
      <c r="E378" s="30"/>
      <c r="F378" s="31"/>
      <c r="G378" s="31"/>
      <c r="H378" s="30"/>
      <c r="I378" s="31" t="str">
        <f>IF(F378="","",IF(F378="Tecnicatura en composición coreográfica en ddv fusión","Jime",CONCATENATE(VLOOKUP(G378,OPCIONES!D:E,2,0),VLOOKUP(H378,OPCIONES!$G$2:$H$8,2,0))))</f>
        <v/>
      </c>
      <c r="J378" s="49">
        <f t="shared" si="6"/>
        <v>15000</v>
      </c>
      <c r="K378" s="49" t="s">
        <v>91</v>
      </c>
      <c r="L378" s="49" t="s">
        <v>176</v>
      </c>
      <c r="N378" s="49" t="s">
        <v>254</v>
      </c>
    </row>
    <row r="379" spans="1:14" ht="27.9" customHeight="1" x14ac:dyDescent="0.3">
      <c r="A379" s="31"/>
      <c r="B379" s="30"/>
      <c r="C379" s="31"/>
      <c r="D379" s="31"/>
      <c r="E379" s="30"/>
      <c r="F379" s="31"/>
      <c r="G379" s="31"/>
      <c r="H379" s="30"/>
      <c r="I379" s="31" t="str">
        <f>IF(F379="","",IF(F379="Tecnicatura en composición coreográfica en ddv fusión","Jime",CONCATENATE(VLOOKUP(G379,OPCIONES!D:E,2,0),VLOOKUP(H379,OPCIONES!$G$2:$H$8,2,0))))</f>
        <v/>
      </c>
      <c r="J379" s="49">
        <f t="shared" si="6"/>
        <v>15000</v>
      </c>
      <c r="K379" s="49" t="s">
        <v>91</v>
      </c>
      <c r="L379" s="49" t="s">
        <v>176</v>
      </c>
      <c r="N379" s="49" t="s">
        <v>254</v>
      </c>
    </row>
    <row r="380" spans="1:14" ht="27.9" customHeight="1" x14ac:dyDescent="0.3">
      <c r="A380" s="31"/>
      <c r="B380" s="30"/>
      <c r="C380" s="31"/>
      <c r="D380" s="31"/>
      <c r="E380" s="30"/>
      <c r="F380" s="31"/>
      <c r="G380" s="31"/>
      <c r="H380" s="30"/>
      <c r="I380" s="31" t="str">
        <f>IF(F380="","",IF(F380="Tecnicatura en composición coreográfica en ddv fusión","Jime",CONCATENATE(VLOOKUP(G380,OPCIONES!D:E,2,0),VLOOKUP(H380,OPCIONES!$G$2:$H$8,2,0))))</f>
        <v/>
      </c>
      <c r="J380" s="49">
        <f t="shared" si="6"/>
        <v>15000</v>
      </c>
      <c r="K380" s="49" t="s">
        <v>91</v>
      </c>
      <c r="L380" s="49" t="s">
        <v>176</v>
      </c>
      <c r="N380" s="49" t="s">
        <v>254</v>
      </c>
    </row>
    <row r="381" spans="1:14" ht="27.9" customHeight="1" x14ac:dyDescent="0.3">
      <c r="A381" s="31"/>
      <c r="B381" s="30"/>
      <c r="C381" s="31"/>
      <c r="D381" s="31"/>
      <c r="E381" s="30"/>
      <c r="F381" s="31"/>
      <c r="G381" s="31"/>
      <c r="H381" s="30"/>
      <c r="I381" s="31" t="str">
        <f>IF(F381="","",IF(F381="Tecnicatura en composición coreográfica en ddv fusión","Jime",CONCATENATE(VLOOKUP(G381,OPCIONES!D:E,2,0),VLOOKUP(H381,OPCIONES!$G$2:$H$8,2,0))))</f>
        <v/>
      </c>
      <c r="J381" s="49">
        <f t="shared" si="6"/>
        <v>15000</v>
      </c>
      <c r="K381" s="49" t="s">
        <v>91</v>
      </c>
      <c r="L381" s="49" t="s">
        <v>176</v>
      </c>
      <c r="N381" s="49" t="s">
        <v>254</v>
      </c>
    </row>
    <row r="382" spans="1:14" ht="27.9" customHeight="1" x14ac:dyDescent="0.3">
      <c r="A382" s="31"/>
      <c r="B382" s="30"/>
      <c r="C382" s="31"/>
      <c r="D382" s="31"/>
      <c r="E382" s="30"/>
      <c r="F382" s="31"/>
      <c r="G382" s="31"/>
      <c r="H382" s="30"/>
      <c r="I382" s="31" t="str">
        <f>IF(F382="","",IF(F382="Tecnicatura en composición coreográfica en ddv fusión","Jime",CONCATENATE(VLOOKUP(G382,OPCIONES!D:E,2,0),VLOOKUP(H382,OPCIONES!$G$2:$H$8,2,0))))</f>
        <v/>
      </c>
      <c r="J382" s="49">
        <f t="shared" si="6"/>
        <v>15000</v>
      </c>
      <c r="K382" s="49" t="s">
        <v>91</v>
      </c>
      <c r="L382" s="49" t="s">
        <v>176</v>
      </c>
      <c r="N382" s="49" t="s">
        <v>254</v>
      </c>
    </row>
    <row r="383" spans="1:14" ht="27.9" customHeight="1" x14ac:dyDescent="0.3">
      <c r="A383" s="31"/>
      <c r="B383" s="30"/>
      <c r="C383" s="31"/>
      <c r="D383" s="31"/>
      <c r="E383" s="30"/>
      <c r="F383" s="31"/>
      <c r="G383" s="31"/>
      <c r="H383" s="30"/>
      <c r="I383" s="31" t="str">
        <f>IF(F383="","",IF(F383="Tecnicatura en composición coreográfica en ddv fusión","Jime",CONCATENATE(VLOOKUP(G383,OPCIONES!D:E,2,0),VLOOKUP(H383,OPCIONES!$G$2:$H$8,2,0))))</f>
        <v/>
      </c>
      <c r="J383" s="49">
        <f t="shared" si="6"/>
        <v>15000</v>
      </c>
      <c r="K383" s="49" t="s">
        <v>91</v>
      </c>
      <c r="L383" s="49" t="s">
        <v>176</v>
      </c>
      <c r="N383" s="49" t="s">
        <v>254</v>
      </c>
    </row>
    <row r="384" spans="1:14" ht="27.9" customHeight="1" x14ac:dyDescent="0.3">
      <c r="A384" s="31"/>
      <c r="B384" s="30"/>
      <c r="C384" s="31"/>
      <c r="D384" s="31"/>
      <c r="E384" s="30"/>
      <c r="F384" s="31"/>
      <c r="G384" s="31"/>
      <c r="H384" s="30"/>
      <c r="I384" s="31" t="str">
        <f>IF(F384="","",IF(F384="Tecnicatura en composición coreográfica en ddv fusión","Jime",CONCATENATE(VLOOKUP(G384,OPCIONES!D:E,2,0),VLOOKUP(H384,OPCIONES!$G$2:$H$8,2,0))))</f>
        <v/>
      </c>
      <c r="J384" s="49">
        <f t="shared" si="6"/>
        <v>15000</v>
      </c>
      <c r="K384" s="49" t="s">
        <v>91</v>
      </c>
      <c r="L384" s="49" t="s">
        <v>176</v>
      </c>
      <c r="N384" s="49" t="s">
        <v>254</v>
      </c>
    </row>
    <row r="385" spans="1:14" ht="27.9" customHeight="1" x14ac:dyDescent="0.3">
      <c r="A385" s="31"/>
      <c r="B385" s="30"/>
      <c r="C385" s="31"/>
      <c r="D385" s="31"/>
      <c r="E385" s="30"/>
      <c r="F385" s="31"/>
      <c r="G385" s="31"/>
      <c r="H385" s="30"/>
      <c r="I385" s="31" t="str">
        <f>IF(F385="","",IF(F385="Tecnicatura en composición coreográfica en ddv fusión","Jime",CONCATENATE(VLOOKUP(G385,OPCIONES!D:E,2,0),VLOOKUP(H385,OPCIONES!$G$2:$H$8,2,0))))</f>
        <v/>
      </c>
      <c r="J385" s="49">
        <f t="shared" si="6"/>
        <v>15000</v>
      </c>
      <c r="K385" s="49" t="s">
        <v>91</v>
      </c>
      <c r="L385" s="49" t="s">
        <v>176</v>
      </c>
      <c r="N385" s="49" t="s">
        <v>254</v>
      </c>
    </row>
    <row r="386" spans="1:14" ht="27.9" customHeight="1" x14ac:dyDescent="0.3">
      <c r="A386" s="31"/>
      <c r="B386" s="30"/>
      <c r="C386" s="31"/>
      <c r="D386" s="31"/>
      <c r="E386" s="30"/>
      <c r="F386" s="31"/>
      <c r="G386" s="31"/>
      <c r="H386" s="30"/>
      <c r="I386" s="31" t="str">
        <f>IF(F386="","",IF(F386="Tecnicatura en composición coreográfica en ddv fusión","Jime",CONCATENATE(VLOOKUP(G386,OPCIONES!D:E,2,0),VLOOKUP(H386,OPCIONES!$G$2:$H$8,2,0))))</f>
        <v/>
      </c>
      <c r="J386" s="49">
        <f t="shared" si="6"/>
        <v>15000</v>
      </c>
      <c r="K386" s="49" t="s">
        <v>91</v>
      </c>
      <c r="L386" s="49" t="s">
        <v>176</v>
      </c>
      <c r="N386" s="49" t="s">
        <v>254</v>
      </c>
    </row>
    <row r="387" spans="1:14" ht="27.9" customHeight="1" x14ac:dyDescent="0.3">
      <c r="A387" s="31"/>
      <c r="B387" s="30"/>
      <c r="C387" s="31"/>
      <c r="D387" s="31"/>
      <c r="E387" s="30"/>
      <c r="F387" s="31"/>
      <c r="G387" s="31"/>
      <c r="H387" s="30"/>
      <c r="I387" s="31" t="str">
        <f>IF(F387="","",IF(F387="Tecnicatura en composición coreográfica en ddv fusión","Jime",CONCATENATE(VLOOKUP(G387,OPCIONES!D:E,2,0),VLOOKUP(H387,OPCIONES!$G$2:$H$8,2,0))))</f>
        <v/>
      </c>
      <c r="J387" s="49">
        <f t="shared" si="6"/>
        <v>15000</v>
      </c>
      <c r="K387" s="49" t="s">
        <v>91</v>
      </c>
      <c r="L387" s="49" t="s">
        <v>176</v>
      </c>
      <c r="N387" s="49" t="s">
        <v>254</v>
      </c>
    </row>
    <row r="388" spans="1:14" ht="27.9" customHeight="1" x14ac:dyDescent="0.3">
      <c r="A388" s="31"/>
      <c r="B388" s="30"/>
      <c r="C388" s="31"/>
      <c r="D388" s="31"/>
      <c r="E388" s="30"/>
      <c r="F388" s="31"/>
      <c r="G388" s="31"/>
      <c r="H388" s="30"/>
      <c r="I388" s="31" t="str">
        <f>IF(F388="","",IF(F388="Tecnicatura en composición coreográfica en ddv fusión","Jime",CONCATENATE(VLOOKUP(G388,OPCIONES!D:E,2,0),VLOOKUP(H388,OPCIONES!$G$2:$H$8,2,0))))</f>
        <v/>
      </c>
      <c r="J388" s="49">
        <f t="shared" si="6"/>
        <v>15000</v>
      </c>
      <c r="K388" s="49" t="s">
        <v>91</v>
      </c>
      <c r="L388" s="49" t="s">
        <v>176</v>
      </c>
      <c r="N388" s="49" t="s">
        <v>254</v>
      </c>
    </row>
    <row r="389" spans="1:14" ht="27.9" customHeight="1" x14ac:dyDescent="0.3">
      <c r="A389" s="31"/>
      <c r="B389" s="30"/>
      <c r="C389" s="31"/>
      <c r="D389" s="31"/>
      <c r="E389" s="30"/>
      <c r="F389" s="31"/>
      <c r="G389" s="31"/>
      <c r="H389" s="30"/>
      <c r="I389" s="31" t="str">
        <f>IF(F389="","",IF(F389="Tecnicatura en composición coreográfica en ddv fusión","Jime",CONCATENATE(VLOOKUP(G389,OPCIONES!D:E,2,0),VLOOKUP(H389,OPCIONES!$G$2:$H$8,2,0))))</f>
        <v/>
      </c>
      <c r="J389" s="49">
        <f t="shared" si="6"/>
        <v>15000</v>
      </c>
      <c r="K389" s="49" t="s">
        <v>91</v>
      </c>
      <c r="L389" s="49" t="s">
        <v>176</v>
      </c>
      <c r="N389" s="49" t="s">
        <v>254</v>
      </c>
    </row>
    <row r="390" spans="1:14" ht="27.9" customHeight="1" x14ac:dyDescent="0.3">
      <c r="A390" s="31"/>
      <c r="B390" s="30"/>
      <c r="C390" s="31"/>
      <c r="D390" s="31"/>
      <c r="E390" s="30"/>
      <c r="F390" s="31"/>
      <c r="G390" s="31"/>
      <c r="H390" s="30"/>
      <c r="I390" s="31" t="str">
        <f>IF(F390="","",IF(F390="Tecnicatura en composición coreográfica en ddv fusión","Jime",CONCATENATE(VLOOKUP(G390,OPCIONES!D:E,2,0),VLOOKUP(H390,OPCIONES!$G$2:$H$8,2,0))))</f>
        <v/>
      </c>
      <c r="J390" s="49">
        <f t="shared" ref="J390:J453" si="7">$I$1</f>
        <v>15000</v>
      </c>
      <c r="K390" s="49" t="s">
        <v>91</v>
      </c>
      <c r="L390" s="49" t="s">
        <v>176</v>
      </c>
      <c r="N390" s="49" t="s">
        <v>254</v>
      </c>
    </row>
    <row r="391" spans="1:14" ht="27.9" customHeight="1" x14ac:dyDescent="0.3">
      <c r="A391" s="31"/>
      <c r="B391" s="30"/>
      <c r="C391" s="31"/>
      <c r="D391" s="31"/>
      <c r="E391" s="30"/>
      <c r="F391" s="31"/>
      <c r="G391" s="31"/>
      <c r="H391" s="30"/>
      <c r="I391" s="31" t="str">
        <f>IF(F391="","",IF(F391="Tecnicatura en composición coreográfica en ddv fusión","Jime",CONCATENATE(VLOOKUP(G391,OPCIONES!D:E,2,0),VLOOKUP(H391,OPCIONES!$G$2:$H$8,2,0))))</f>
        <v/>
      </c>
      <c r="J391" s="49">
        <f t="shared" si="7"/>
        <v>15000</v>
      </c>
      <c r="K391" s="49" t="s">
        <v>91</v>
      </c>
      <c r="L391" s="49" t="s">
        <v>176</v>
      </c>
      <c r="N391" s="49" t="s">
        <v>254</v>
      </c>
    </row>
    <row r="392" spans="1:14" ht="27.9" customHeight="1" x14ac:dyDescent="0.3">
      <c r="A392" s="31"/>
      <c r="B392" s="30"/>
      <c r="C392" s="31"/>
      <c r="D392" s="31"/>
      <c r="E392" s="30"/>
      <c r="F392" s="31"/>
      <c r="G392" s="31"/>
      <c r="H392" s="30"/>
      <c r="I392" s="31" t="str">
        <f>IF(F392="","",IF(F392="Tecnicatura en composición coreográfica en ddv fusión","Jime",CONCATENATE(VLOOKUP(G392,OPCIONES!D:E,2,0),VLOOKUP(H392,OPCIONES!$G$2:$H$8,2,0))))</f>
        <v/>
      </c>
      <c r="J392" s="49">
        <f t="shared" si="7"/>
        <v>15000</v>
      </c>
      <c r="K392" s="49" t="s">
        <v>91</v>
      </c>
      <c r="L392" s="49" t="s">
        <v>176</v>
      </c>
      <c r="N392" s="49" t="s">
        <v>254</v>
      </c>
    </row>
    <row r="393" spans="1:14" ht="27.9" customHeight="1" x14ac:dyDescent="0.3">
      <c r="A393" s="31"/>
      <c r="B393" s="30"/>
      <c r="C393" s="31"/>
      <c r="D393" s="31"/>
      <c r="E393" s="30"/>
      <c r="F393" s="31"/>
      <c r="G393" s="31"/>
      <c r="H393" s="30"/>
      <c r="I393" s="31" t="str">
        <f>IF(F393="","",IF(F393="Tecnicatura en composición coreográfica en ddv fusión","Jime",CONCATENATE(VLOOKUP(G393,OPCIONES!D:E,2,0),VLOOKUP(H393,OPCIONES!$G$2:$H$8,2,0))))</f>
        <v/>
      </c>
      <c r="J393" s="49">
        <f t="shared" si="7"/>
        <v>15000</v>
      </c>
      <c r="K393" s="49" t="s">
        <v>91</v>
      </c>
      <c r="L393" s="49" t="s">
        <v>176</v>
      </c>
      <c r="N393" s="49" t="s">
        <v>254</v>
      </c>
    </row>
    <row r="394" spans="1:14" ht="27.9" customHeight="1" x14ac:dyDescent="0.3">
      <c r="A394" s="31"/>
      <c r="B394" s="30"/>
      <c r="C394" s="31"/>
      <c r="D394" s="31"/>
      <c r="E394" s="30"/>
      <c r="F394" s="31"/>
      <c r="G394" s="31"/>
      <c r="H394" s="30"/>
      <c r="I394" s="31" t="str">
        <f>IF(F394="","",IF(F394="Tecnicatura en composición coreográfica en ddv fusión","Jime",CONCATENATE(VLOOKUP(G394,OPCIONES!D:E,2,0),VLOOKUP(H394,OPCIONES!$G$2:$H$8,2,0))))</f>
        <v/>
      </c>
      <c r="J394" s="49">
        <f t="shared" si="7"/>
        <v>15000</v>
      </c>
      <c r="K394" s="49" t="s">
        <v>91</v>
      </c>
      <c r="L394" s="49" t="s">
        <v>176</v>
      </c>
      <c r="N394" s="49" t="s">
        <v>254</v>
      </c>
    </row>
    <row r="395" spans="1:14" ht="27.9" customHeight="1" x14ac:dyDescent="0.3">
      <c r="A395" s="31"/>
      <c r="B395" s="30"/>
      <c r="C395" s="31"/>
      <c r="D395" s="31"/>
      <c r="E395" s="30"/>
      <c r="F395" s="31"/>
      <c r="G395" s="31"/>
      <c r="H395" s="30"/>
      <c r="I395" s="31" t="str">
        <f>IF(F395="","",IF(F395="Tecnicatura en composición coreográfica en ddv fusión","Jime",CONCATENATE(VLOOKUP(G395,OPCIONES!D:E,2,0),VLOOKUP(H395,OPCIONES!$G$2:$H$8,2,0))))</f>
        <v/>
      </c>
      <c r="J395" s="49">
        <f t="shared" si="7"/>
        <v>15000</v>
      </c>
      <c r="K395" s="49" t="s">
        <v>91</v>
      </c>
      <c r="L395" s="49" t="s">
        <v>176</v>
      </c>
      <c r="N395" s="49" t="s">
        <v>254</v>
      </c>
    </row>
    <row r="396" spans="1:14" ht="27.9" customHeight="1" x14ac:dyDescent="0.3">
      <c r="A396" s="31"/>
      <c r="B396" s="30"/>
      <c r="C396" s="31"/>
      <c r="D396" s="31"/>
      <c r="E396" s="30"/>
      <c r="F396" s="31"/>
      <c r="G396" s="31"/>
      <c r="H396" s="30"/>
      <c r="I396" s="31" t="str">
        <f>IF(F396="","",IF(F396="Tecnicatura en composición coreográfica en ddv fusión","Jime",CONCATENATE(VLOOKUP(G396,OPCIONES!D:E,2,0),VLOOKUP(H396,OPCIONES!$G$2:$H$8,2,0))))</f>
        <v/>
      </c>
      <c r="J396" s="49">
        <f t="shared" si="7"/>
        <v>15000</v>
      </c>
      <c r="K396" s="49" t="s">
        <v>91</v>
      </c>
      <c r="L396" s="49" t="s">
        <v>176</v>
      </c>
      <c r="N396" s="49" t="s">
        <v>254</v>
      </c>
    </row>
    <row r="397" spans="1:14" ht="27.9" customHeight="1" x14ac:dyDescent="0.3">
      <c r="A397" s="31"/>
      <c r="B397" s="30"/>
      <c r="C397" s="31"/>
      <c r="D397" s="31"/>
      <c r="E397" s="30"/>
      <c r="F397" s="31"/>
      <c r="G397" s="31"/>
      <c r="H397" s="30"/>
      <c r="I397" s="31" t="str">
        <f>IF(F397="","",IF(F397="Tecnicatura en composición coreográfica en ddv fusión","Jime",CONCATENATE(VLOOKUP(G397,OPCIONES!D:E,2,0),VLOOKUP(H397,OPCIONES!$G$2:$H$8,2,0))))</f>
        <v/>
      </c>
      <c r="J397" s="49">
        <f t="shared" si="7"/>
        <v>15000</v>
      </c>
      <c r="K397" s="49" t="s">
        <v>91</v>
      </c>
      <c r="L397" s="49" t="s">
        <v>176</v>
      </c>
      <c r="N397" s="49" t="s">
        <v>254</v>
      </c>
    </row>
    <row r="398" spans="1:14" ht="27.9" customHeight="1" x14ac:dyDescent="0.3">
      <c r="A398" s="31"/>
      <c r="B398" s="30"/>
      <c r="C398" s="31"/>
      <c r="D398" s="31"/>
      <c r="E398" s="30"/>
      <c r="F398" s="31"/>
      <c r="G398" s="31"/>
      <c r="H398" s="30"/>
      <c r="I398" s="31" t="str">
        <f>IF(F398="","",IF(F398="Tecnicatura en composición coreográfica en ddv fusión","Jime",CONCATENATE(VLOOKUP(G398,OPCIONES!D:E,2,0),VLOOKUP(H398,OPCIONES!$G$2:$H$8,2,0))))</f>
        <v/>
      </c>
      <c r="J398" s="49">
        <f t="shared" si="7"/>
        <v>15000</v>
      </c>
      <c r="K398" s="49" t="s">
        <v>91</v>
      </c>
      <c r="L398" s="49" t="s">
        <v>176</v>
      </c>
      <c r="N398" s="49" t="s">
        <v>254</v>
      </c>
    </row>
    <row r="399" spans="1:14" ht="27.9" customHeight="1" x14ac:dyDescent="0.3">
      <c r="A399" s="31"/>
      <c r="B399" s="30"/>
      <c r="C399" s="31"/>
      <c r="D399" s="31"/>
      <c r="E399" s="30"/>
      <c r="F399" s="31"/>
      <c r="G399" s="31"/>
      <c r="H399" s="30"/>
      <c r="I399" s="31" t="str">
        <f>IF(F399="","",IF(F399="Tecnicatura en composición coreográfica en ddv fusión","Jime",CONCATENATE(VLOOKUP(G399,OPCIONES!D:E,2,0),VLOOKUP(H399,OPCIONES!$G$2:$H$8,2,0))))</f>
        <v/>
      </c>
      <c r="J399" s="49">
        <f t="shared" si="7"/>
        <v>15000</v>
      </c>
      <c r="K399" s="49" t="s">
        <v>91</v>
      </c>
      <c r="L399" s="49" t="s">
        <v>176</v>
      </c>
      <c r="N399" s="49" t="s">
        <v>254</v>
      </c>
    </row>
    <row r="400" spans="1:14" ht="27.9" customHeight="1" x14ac:dyDescent="0.3">
      <c r="A400" s="31"/>
      <c r="B400" s="30"/>
      <c r="C400" s="31"/>
      <c r="D400" s="31"/>
      <c r="E400" s="30"/>
      <c r="F400" s="31"/>
      <c r="G400" s="31"/>
      <c r="H400" s="30"/>
      <c r="I400" s="31" t="str">
        <f>IF(F400="","",IF(F400="Tecnicatura en composición coreográfica en ddv fusión","Jime",CONCATENATE(VLOOKUP(G400,OPCIONES!D:E,2,0),VLOOKUP(H400,OPCIONES!$G$2:$H$8,2,0))))</f>
        <v/>
      </c>
      <c r="J400" s="49">
        <f t="shared" si="7"/>
        <v>15000</v>
      </c>
      <c r="K400" s="49" t="s">
        <v>91</v>
      </c>
      <c r="L400" s="49" t="s">
        <v>176</v>
      </c>
      <c r="N400" s="49" t="s">
        <v>254</v>
      </c>
    </row>
    <row r="401" spans="1:14" ht="27.9" customHeight="1" x14ac:dyDescent="0.3">
      <c r="A401" s="31"/>
      <c r="B401" s="30"/>
      <c r="C401" s="31"/>
      <c r="D401" s="31"/>
      <c r="E401" s="30"/>
      <c r="F401" s="31"/>
      <c r="G401" s="31"/>
      <c r="H401" s="30"/>
      <c r="I401" s="31" t="str">
        <f>IF(F401="","",IF(F401="Tecnicatura en composición coreográfica en ddv fusión","Jime",CONCATENATE(VLOOKUP(G401,OPCIONES!D:E,2,0),VLOOKUP(H401,OPCIONES!$G$2:$H$8,2,0))))</f>
        <v/>
      </c>
      <c r="J401" s="49">
        <f t="shared" si="7"/>
        <v>15000</v>
      </c>
      <c r="K401" s="49" t="s">
        <v>91</v>
      </c>
      <c r="L401" s="49" t="s">
        <v>176</v>
      </c>
      <c r="N401" s="49" t="s">
        <v>254</v>
      </c>
    </row>
    <row r="402" spans="1:14" ht="27.9" customHeight="1" x14ac:dyDescent="0.3">
      <c r="A402" s="31"/>
      <c r="B402" s="30"/>
      <c r="C402" s="31"/>
      <c r="D402" s="31"/>
      <c r="E402" s="30"/>
      <c r="F402" s="31"/>
      <c r="G402" s="31"/>
      <c r="H402" s="30"/>
      <c r="I402" s="31" t="str">
        <f>IF(F402="","",IF(F402="Tecnicatura en composición coreográfica en ddv fusión","Jime",CONCATENATE(VLOOKUP(G402,OPCIONES!D:E,2,0),VLOOKUP(H402,OPCIONES!$G$2:$H$8,2,0))))</f>
        <v/>
      </c>
      <c r="J402" s="49">
        <f t="shared" si="7"/>
        <v>15000</v>
      </c>
      <c r="K402" s="49" t="s">
        <v>91</v>
      </c>
      <c r="L402" s="49" t="s">
        <v>176</v>
      </c>
      <c r="N402" s="49" t="s">
        <v>254</v>
      </c>
    </row>
    <row r="403" spans="1:14" ht="27.9" customHeight="1" x14ac:dyDescent="0.3">
      <c r="A403" s="31"/>
      <c r="B403" s="30"/>
      <c r="C403" s="31"/>
      <c r="D403" s="31"/>
      <c r="E403" s="30"/>
      <c r="F403" s="31"/>
      <c r="G403" s="31"/>
      <c r="H403" s="30"/>
      <c r="I403" s="31" t="str">
        <f>IF(F403="","",IF(F403="Tecnicatura en composición coreográfica en ddv fusión","Jime",CONCATENATE(VLOOKUP(G403,OPCIONES!D:E,2,0),VLOOKUP(H403,OPCIONES!$G$2:$H$8,2,0))))</f>
        <v/>
      </c>
      <c r="J403" s="49">
        <f t="shared" si="7"/>
        <v>15000</v>
      </c>
      <c r="K403" s="49" t="s">
        <v>91</v>
      </c>
      <c r="L403" s="49" t="s">
        <v>176</v>
      </c>
      <c r="N403" s="49" t="s">
        <v>254</v>
      </c>
    </row>
    <row r="404" spans="1:14" ht="27.9" customHeight="1" x14ac:dyDescent="0.3">
      <c r="A404" s="31"/>
      <c r="B404" s="30"/>
      <c r="C404" s="31"/>
      <c r="D404" s="31"/>
      <c r="E404" s="30"/>
      <c r="F404" s="31"/>
      <c r="G404" s="31"/>
      <c r="H404" s="30"/>
      <c r="I404" s="31" t="str">
        <f>IF(F404="","",IF(F404="Tecnicatura en composición coreográfica en ddv fusión","Jime",CONCATENATE(VLOOKUP(G404,OPCIONES!D:E,2,0),VLOOKUP(H404,OPCIONES!$G$2:$H$8,2,0))))</f>
        <v/>
      </c>
      <c r="J404" s="49">
        <f t="shared" si="7"/>
        <v>15000</v>
      </c>
      <c r="K404" s="49" t="s">
        <v>91</v>
      </c>
      <c r="L404" s="49" t="s">
        <v>176</v>
      </c>
      <c r="N404" s="49" t="s">
        <v>254</v>
      </c>
    </row>
    <row r="405" spans="1:14" ht="27.9" customHeight="1" x14ac:dyDescent="0.3">
      <c r="A405" s="31"/>
      <c r="B405" s="30"/>
      <c r="C405" s="31"/>
      <c r="D405" s="31"/>
      <c r="E405" s="30"/>
      <c r="F405" s="31"/>
      <c r="G405" s="31"/>
      <c r="H405" s="30"/>
      <c r="I405" s="31" t="str">
        <f>IF(F405="","",IF(F405="Tecnicatura en composición coreográfica en ddv fusión","Jime",CONCATENATE(VLOOKUP(G405,OPCIONES!D:E,2,0),VLOOKUP(H405,OPCIONES!$G$2:$H$8,2,0))))</f>
        <v/>
      </c>
      <c r="J405" s="49">
        <f t="shared" si="7"/>
        <v>15000</v>
      </c>
      <c r="K405" s="49" t="s">
        <v>91</v>
      </c>
      <c r="L405" s="49" t="s">
        <v>176</v>
      </c>
      <c r="N405" s="49" t="s">
        <v>254</v>
      </c>
    </row>
    <row r="406" spans="1:14" ht="27.9" customHeight="1" x14ac:dyDescent="0.3">
      <c r="A406" s="31"/>
      <c r="B406" s="30"/>
      <c r="C406" s="31"/>
      <c r="D406" s="31"/>
      <c r="E406" s="30"/>
      <c r="F406" s="31"/>
      <c r="G406" s="31"/>
      <c r="H406" s="30"/>
      <c r="I406" s="31" t="str">
        <f>IF(F406="","",IF(F406="Tecnicatura en composición coreográfica en ddv fusión","Jime",CONCATENATE(VLOOKUP(G406,OPCIONES!D:E,2,0),VLOOKUP(H406,OPCIONES!$G$2:$H$8,2,0))))</f>
        <v/>
      </c>
      <c r="J406" s="49">
        <f t="shared" si="7"/>
        <v>15000</v>
      </c>
      <c r="K406" s="49" t="s">
        <v>91</v>
      </c>
      <c r="L406" s="49" t="s">
        <v>176</v>
      </c>
      <c r="N406" s="49" t="s">
        <v>254</v>
      </c>
    </row>
    <row r="407" spans="1:14" ht="27.9" customHeight="1" x14ac:dyDescent="0.3">
      <c r="A407" s="31"/>
      <c r="B407" s="30"/>
      <c r="C407" s="31"/>
      <c r="D407" s="31"/>
      <c r="E407" s="30"/>
      <c r="F407" s="31"/>
      <c r="G407" s="31"/>
      <c r="H407" s="30"/>
      <c r="I407" s="31" t="str">
        <f>IF(F407="","",IF(F407="Tecnicatura en composición coreográfica en ddv fusión","Jime",CONCATENATE(VLOOKUP(G407,OPCIONES!D:E,2,0),VLOOKUP(H407,OPCIONES!$G$2:$H$8,2,0))))</f>
        <v/>
      </c>
      <c r="J407" s="49">
        <f t="shared" si="7"/>
        <v>15000</v>
      </c>
      <c r="K407" s="49" t="s">
        <v>91</v>
      </c>
      <c r="L407" s="49" t="s">
        <v>176</v>
      </c>
      <c r="N407" s="49" t="s">
        <v>254</v>
      </c>
    </row>
    <row r="408" spans="1:14" ht="27.9" customHeight="1" x14ac:dyDescent="0.3">
      <c r="A408" s="31"/>
      <c r="B408" s="30"/>
      <c r="C408" s="31"/>
      <c r="D408" s="31"/>
      <c r="E408" s="30"/>
      <c r="F408" s="31"/>
      <c r="G408" s="31"/>
      <c r="H408" s="30"/>
      <c r="I408" s="31" t="str">
        <f>IF(F408="","",IF(F408="Tecnicatura en composición coreográfica en ddv fusión","Jime",CONCATENATE(VLOOKUP(G408,OPCIONES!D:E,2,0),VLOOKUP(H408,OPCIONES!$G$2:$H$8,2,0))))</f>
        <v/>
      </c>
      <c r="J408" s="49">
        <f t="shared" si="7"/>
        <v>15000</v>
      </c>
      <c r="K408" s="49" t="s">
        <v>91</v>
      </c>
      <c r="L408" s="49" t="s">
        <v>176</v>
      </c>
      <c r="N408" s="49" t="s">
        <v>254</v>
      </c>
    </row>
    <row r="409" spans="1:14" ht="27.9" customHeight="1" x14ac:dyDescent="0.3">
      <c r="A409" s="31"/>
      <c r="B409" s="30"/>
      <c r="C409" s="31"/>
      <c r="D409" s="31"/>
      <c r="E409" s="30"/>
      <c r="F409" s="31"/>
      <c r="G409" s="31"/>
      <c r="H409" s="30"/>
      <c r="I409" s="31" t="str">
        <f>IF(F409="","",IF(F409="Tecnicatura en composición coreográfica en ddv fusión","Jime",CONCATENATE(VLOOKUP(G409,OPCIONES!D:E,2,0),VLOOKUP(H409,OPCIONES!$G$2:$H$8,2,0))))</f>
        <v/>
      </c>
      <c r="J409" s="49">
        <f t="shared" si="7"/>
        <v>15000</v>
      </c>
      <c r="K409" s="49" t="s">
        <v>91</v>
      </c>
      <c r="L409" s="49" t="s">
        <v>176</v>
      </c>
      <c r="N409" s="49" t="s">
        <v>254</v>
      </c>
    </row>
    <row r="410" spans="1:14" ht="27.9" customHeight="1" x14ac:dyDescent="0.3">
      <c r="A410" s="31"/>
      <c r="B410" s="30"/>
      <c r="C410" s="31"/>
      <c r="D410" s="31"/>
      <c r="E410" s="30"/>
      <c r="F410" s="31"/>
      <c r="G410" s="31"/>
      <c r="H410" s="30"/>
      <c r="I410" s="31" t="str">
        <f>IF(F410="","",IF(F410="Tecnicatura en composición coreográfica en ddv fusión","Jime",CONCATENATE(VLOOKUP(G410,OPCIONES!D:E,2,0),VLOOKUP(H410,OPCIONES!$G$2:$H$8,2,0))))</f>
        <v/>
      </c>
      <c r="J410" s="49">
        <f t="shared" si="7"/>
        <v>15000</v>
      </c>
      <c r="K410" s="49" t="s">
        <v>91</v>
      </c>
      <c r="L410" s="49" t="s">
        <v>176</v>
      </c>
      <c r="N410" s="49" t="s">
        <v>254</v>
      </c>
    </row>
    <row r="411" spans="1:14" ht="27.9" customHeight="1" x14ac:dyDescent="0.3">
      <c r="A411" s="31"/>
      <c r="B411" s="30"/>
      <c r="C411" s="31"/>
      <c r="D411" s="31"/>
      <c r="E411" s="30"/>
      <c r="F411" s="31"/>
      <c r="G411" s="31"/>
      <c r="H411" s="30"/>
      <c r="I411" s="31" t="str">
        <f>IF(F411="","",IF(F411="Tecnicatura en composición coreográfica en ddv fusión","Jime",CONCATENATE(VLOOKUP(G411,OPCIONES!D:E,2,0),VLOOKUP(H411,OPCIONES!$G$2:$H$8,2,0))))</f>
        <v/>
      </c>
      <c r="J411" s="49">
        <f t="shared" si="7"/>
        <v>15000</v>
      </c>
      <c r="K411" s="49" t="s">
        <v>91</v>
      </c>
      <c r="L411" s="49" t="s">
        <v>176</v>
      </c>
      <c r="N411" s="49" t="s">
        <v>254</v>
      </c>
    </row>
    <row r="412" spans="1:14" ht="27.9" customHeight="1" x14ac:dyDescent="0.3">
      <c r="A412" s="31"/>
      <c r="B412" s="30"/>
      <c r="C412" s="31"/>
      <c r="D412" s="31"/>
      <c r="E412" s="30"/>
      <c r="F412" s="31"/>
      <c r="G412" s="31"/>
      <c r="H412" s="30"/>
      <c r="I412" s="31" t="str">
        <f>IF(F412="","",IF(F412="Tecnicatura en composición coreográfica en ddv fusión","Jime",CONCATENATE(VLOOKUP(G412,OPCIONES!D:E,2,0),VLOOKUP(H412,OPCIONES!$G$2:$H$8,2,0))))</f>
        <v/>
      </c>
      <c r="J412" s="49">
        <f t="shared" si="7"/>
        <v>15000</v>
      </c>
      <c r="K412" s="49" t="s">
        <v>91</v>
      </c>
      <c r="L412" s="49" t="s">
        <v>176</v>
      </c>
      <c r="N412" s="49" t="s">
        <v>254</v>
      </c>
    </row>
    <row r="413" spans="1:14" ht="27.9" customHeight="1" x14ac:dyDescent="0.3">
      <c r="A413" s="31"/>
      <c r="B413" s="30"/>
      <c r="C413" s="31"/>
      <c r="D413" s="31"/>
      <c r="E413" s="30"/>
      <c r="F413" s="31"/>
      <c r="G413" s="31"/>
      <c r="H413" s="30"/>
      <c r="I413" s="31" t="str">
        <f>IF(F413="","",IF(F413="Tecnicatura en composición coreográfica en ddv fusión","Jime",CONCATENATE(VLOOKUP(G413,OPCIONES!D:E,2,0),VLOOKUP(H413,OPCIONES!$G$2:$H$8,2,0))))</f>
        <v/>
      </c>
      <c r="J413" s="49">
        <f t="shared" si="7"/>
        <v>15000</v>
      </c>
      <c r="K413" s="49" t="s">
        <v>91</v>
      </c>
      <c r="L413" s="49" t="s">
        <v>176</v>
      </c>
      <c r="N413" s="49" t="s">
        <v>254</v>
      </c>
    </row>
    <row r="414" spans="1:14" ht="27.9" customHeight="1" x14ac:dyDescent="0.3">
      <c r="A414" s="31"/>
      <c r="B414" s="30"/>
      <c r="C414" s="31"/>
      <c r="D414" s="31"/>
      <c r="E414" s="30"/>
      <c r="F414" s="31"/>
      <c r="G414" s="31"/>
      <c r="H414" s="30"/>
      <c r="I414" s="31" t="str">
        <f>IF(F414="","",IF(F414="Tecnicatura en composición coreográfica en ddv fusión","Jime",CONCATENATE(VLOOKUP(G414,OPCIONES!D:E,2,0),VLOOKUP(H414,OPCIONES!$G$2:$H$8,2,0))))</f>
        <v/>
      </c>
      <c r="J414" s="49">
        <f t="shared" si="7"/>
        <v>15000</v>
      </c>
      <c r="K414" s="49" t="s">
        <v>91</v>
      </c>
      <c r="L414" s="49" t="s">
        <v>176</v>
      </c>
      <c r="N414" s="49" t="s">
        <v>254</v>
      </c>
    </row>
    <row r="415" spans="1:14" ht="27.9" customHeight="1" x14ac:dyDescent="0.3">
      <c r="A415" s="31"/>
      <c r="B415" s="30"/>
      <c r="C415" s="31"/>
      <c r="D415" s="31"/>
      <c r="E415" s="30"/>
      <c r="F415" s="31"/>
      <c r="G415" s="31"/>
      <c r="H415" s="30"/>
      <c r="I415" s="31" t="str">
        <f>IF(F415="","",IF(F415="Tecnicatura en composición coreográfica en ddv fusión","Jime",CONCATENATE(VLOOKUP(G415,OPCIONES!D:E,2,0),VLOOKUP(H415,OPCIONES!$G$2:$H$8,2,0))))</f>
        <v/>
      </c>
      <c r="J415" s="49">
        <f t="shared" si="7"/>
        <v>15000</v>
      </c>
      <c r="K415" s="49" t="s">
        <v>91</v>
      </c>
      <c r="L415" s="49" t="s">
        <v>176</v>
      </c>
      <c r="N415" s="49" t="s">
        <v>254</v>
      </c>
    </row>
    <row r="416" spans="1:14" ht="27.9" customHeight="1" x14ac:dyDescent="0.3">
      <c r="A416" s="31"/>
      <c r="B416" s="30"/>
      <c r="C416" s="31"/>
      <c r="D416" s="31"/>
      <c r="E416" s="30"/>
      <c r="F416" s="31"/>
      <c r="G416" s="31"/>
      <c r="H416" s="30"/>
      <c r="I416" s="31" t="str">
        <f>IF(F416="","",IF(F416="Tecnicatura en composición coreográfica en ddv fusión","Jime",CONCATENATE(VLOOKUP(G416,OPCIONES!D:E,2,0),VLOOKUP(H416,OPCIONES!$G$2:$H$8,2,0))))</f>
        <v/>
      </c>
      <c r="J416" s="49">
        <f t="shared" si="7"/>
        <v>15000</v>
      </c>
      <c r="K416" s="49" t="s">
        <v>91</v>
      </c>
      <c r="L416" s="49" t="s">
        <v>176</v>
      </c>
      <c r="N416" s="49" t="s">
        <v>254</v>
      </c>
    </row>
    <row r="417" spans="1:14" ht="27.9" customHeight="1" x14ac:dyDescent="0.3">
      <c r="A417" s="31"/>
      <c r="B417" s="30"/>
      <c r="C417" s="31"/>
      <c r="D417" s="31"/>
      <c r="E417" s="30"/>
      <c r="F417" s="31"/>
      <c r="G417" s="31"/>
      <c r="H417" s="30"/>
      <c r="I417" s="31" t="str">
        <f>IF(F417="","",IF(F417="Tecnicatura en composición coreográfica en ddv fusión","Jime",CONCATENATE(VLOOKUP(G417,OPCIONES!D:E,2,0),VLOOKUP(H417,OPCIONES!$G$2:$H$8,2,0))))</f>
        <v/>
      </c>
      <c r="J417" s="49">
        <f t="shared" si="7"/>
        <v>15000</v>
      </c>
      <c r="K417" s="49" t="s">
        <v>91</v>
      </c>
      <c r="L417" s="49" t="s">
        <v>176</v>
      </c>
      <c r="N417" s="49" t="s">
        <v>254</v>
      </c>
    </row>
    <row r="418" spans="1:14" ht="27.9" customHeight="1" x14ac:dyDescent="0.3">
      <c r="A418" s="31"/>
      <c r="B418" s="30"/>
      <c r="C418" s="31"/>
      <c r="D418" s="31"/>
      <c r="E418" s="30"/>
      <c r="F418" s="31"/>
      <c r="G418" s="31"/>
      <c r="H418" s="30"/>
      <c r="I418" s="31" t="str">
        <f>IF(F418="","",IF(F418="Tecnicatura en composición coreográfica en ddv fusión","Jime",CONCATENATE(VLOOKUP(G418,OPCIONES!D:E,2,0),VLOOKUP(H418,OPCIONES!$G$2:$H$8,2,0))))</f>
        <v/>
      </c>
      <c r="J418" s="49">
        <f t="shared" si="7"/>
        <v>15000</v>
      </c>
      <c r="K418" s="49" t="s">
        <v>91</v>
      </c>
      <c r="L418" s="49" t="s">
        <v>176</v>
      </c>
      <c r="N418" s="49" t="s">
        <v>254</v>
      </c>
    </row>
    <row r="419" spans="1:14" ht="27.9" customHeight="1" x14ac:dyDescent="0.3">
      <c r="A419" s="31"/>
      <c r="B419" s="30"/>
      <c r="C419" s="31"/>
      <c r="D419" s="31"/>
      <c r="E419" s="30"/>
      <c r="F419" s="31"/>
      <c r="G419" s="31"/>
      <c r="H419" s="30"/>
      <c r="I419" s="31" t="str">
        <f>IF(F419="","",IF(F419="Tecnicatura en composición coreográfica en ddv fusión","Jime",CONCATENATE(VLOOKUP(G419,OPCIONES!D:E,2,0),VLOOKUP(H419,OPCIONES!$G$2:$H$8,2,0))))</f>
        <v/>
      </c>
      <c r="J419" s="49">
        <f t="shared" si="7"/>
        <v>15000</v>
      </c>
      <c r="K419" s="49" t="s">
        <v>91</v>
      </c>
      <c r="L419" s="49" t="s">
        <v>176</v>
      </c>
      <c r="N419" s="49" t="s">
        <v>254</v>
      </c>
    </row>
    <row r="420" spans="1:14" ht="27.9" customHeight="1" x14ac:dyDescent="0.3">
      <c r="A420" s="31"/>
      <c r="B420" s="30"/>
      <c r="C420" s="31"/>
      <c r="D420" s="31"/>
      <c r="E420" s="30"/>
      <c r="F420" s="31"/>
      <c r="G420" s="31"/>
      <c r="H420" s="30"/>
      <c r="I420" s="31" t="str">
        <f>IF(F420="","",IF(F420="Tecnicatura en composición coreográfica en ddv fusión","Jime",CONCATENATE(VLOOKUP(G420,OPCIONES!D:E,2,0),VLOOKUP(H420,OPCIONES!$G$2:$H$8,2,0))))</f>
        <v/>
      </c>
      <c r="J420" s="49">
        <f t="shared" si="7"/>
        <v>15000</v>
      </c>
      <c r="K420" s="49" t="s">
        <v>91</v>
      </c>
      <c r="L420" s="49" t="s">
        <v>176</v>
      </c>
      <c r="N420" s="49" t="s">
        <v>254</v>
      </c>
    </row>
    <row r="421" spans="1:14" ht="27.9" customHeight="1" x14ac:dyDescent="0.3">
      <c r="A421" s="31"/>
      <c r="B421" s="30"/>
      <c r="C421" s="31"/>
      <c r="D421" s="31"/>
      <c r="E421" s="30"/>
      <c r="F421" s="31"/>
      <c r="G421" s="31"/>
      <c r="H421" s="30"/>
      <c r="I421" s="31" t="str">
        <f>IF(F421="","",IF(F421="Tecnicatura en composición coreográfica en ddv fusión","Jime",CONCATENATE(VLOOKUP(G421,OPCIONES!D:E,2,0),VLOOKUP(H421,OPCIONES!$G$2:$H$8,2,0))))</f>
        <v/>
      </c>
      <c r="J421" s="49">
        <f t="shared" si="7"/>
        <v>15000</v>
      </c>
      <c r="K421" s="49" t="s">
        <v>91</v>
      </c>
      <c r="L421" s="49" t="s">
        <v>176</v>
      </c>
      <c r="N421" s="49" t="s">
        <v>254</v>
      </c>
    </row>
    <row r="422" spans="1:14" ht="27.9" customHeight="1" x14ac:dyDescent="0.3">
      <c r="A422" s="31"/>
      <c r="B422" s="30"/>
      <c r="C422" s="31"/>
      <c r="D422" s="31"/>
      <c r="E422" s="30"/>
      <c r="F422" s="31"/>
      <c r="G422" s="31"/>
      <c r="H422" s="30"/>
      <c r="I422" s="31" t="str">
        <f>IF(F422="","",IF(F422="Tecnicatura en composición coreográfica en ddv fusión","Jime",CONCATENATE(VLOOKUP(G422,OPCIONES!D:E,2,0),VLOOKUP(H422,OPCIONES!$G$2:$H$8,2,0))))</f>
        <v/>
      </c>
      <c r="J422" s="49">
        <f t="shared" si="7"/>
        <v>15000</v>
      </c>
      <c r="K422" s="49" t="s">
        <v>91</v>
      </c>
      <c r="L422" s="49" t="s">
        <v>176</v>
      </c>
      <c r="N422" s="49" t="s">
        <v>254</v>
      </c>
    </row>
    <row r="423" spans="1:14" ht="27.9" customHeight="1" x14ac:dyDescent="0.3">
      <c r="A423" s="31"/>
      <c r="B423" s="30"/>
      <c r="C423" s="31"/>
      <c r="D423" s="31"/>
      <c r="E423" s="30"/>
      <c r="F423" s="31"/>
      <c r="G423" s="31"/>
      <c r="H423" s="30"/>
      <c r="I423" s="31" t="str">
        <f>IF(F423="","",IF(F423="Tecnicatura en composición coreográfica en ddv fusión","Jime",CONCATENATE(VLOOKUP(G423,OPCIONES!D:E,2,0),VLOOKUP(H423,OPCIONES!$G$2:$H$8,2,0))))</f>
        <v/>
      </c>
      <c r="J423" s="49">
        <f t="shared" si="7"/>
        <v>15000</v>
      </c>
      <c r="K423" s="49" t="s">
        <v>91</v>
      </c>
      <c r="L423" s="49" t="s">
        <v>176</v>
      </c>
      <c r="N423" s="49" t="s">
        <v>254</v>
      </c>
    </row>
    <row r="424" spans="1:14" ht="27.9" customHeight="1" x14ac:dyDescent="0.3">
      <c r="A424" s="31"/>
      <c r="B424" s="30"/>
      <c r="C424" s="31"/>
      <c r="D424" s="31"/>
      <c r="E424" s="30"/>
      <c r="F424" s="31"/>
      <c r="G424" s="31"/>
      <c r="H424" s="30"/>
      <c r="I424" s="31" t="str">
        <f>IF(F424="","",IF(F424="Tecnicatura en composición coreográfica en ddv fusión","Jime",CONCATENATE(VLOOKUP(G424,OPCIONES!D:E,2,0),VLOOKUP(H424,OPCIONES!$G$2:$H$8,2,0))))</f>
        <v/>
      </c>
      <c r="J424" s="49">
        <f t="shared" si="7"/>
        <v>15000</v>
      </c>
      <c r="K424" s="49" t="s">
        <v>91</v>
      </c>
      <c r="L424" s="49" t="s">
        <v>176</v>
      </c>
      <c r="N424" s="49" t="s">
        <v>254</v>
      </c>
    </row>
    <row r="425" spans="1:14" ht="27.9" customHeight="1" x14ac:dyDescent="0.3">
      <c r="A425" s="31"/>
      <c r="B425" s="30"/>
      <c r="C425" s="31"/>
      <c r="D425" s="31"/>
      <c r="E425" s="30"/>
      <c r="F425" s="31"/>
      <c r="G425" s="31"/>
      <c r="H425" s="30"/>
      <c r="I425" s="31" t="str">
        <f>IF(F425="","",IF(F425="Tecnicatura en composición coreográfica en ddv fusión","Jime",CONCATENATE(VLOOKUP(G425,OPCIONES!D:E,2,0),VLOOKUP(H425,OPCIONES!$G$2:$H$8,2,0))))</f>
        <v/>
      </c>
      <c r="J425" s="49">
        <f t="shared" si="7"/>
        <v>15000</v>
      </c>
      <c r="K425" s="49" t="s">
        <v>91</v>
      </c>
      <c r="L425" s="49" t="s">
        <v>176</v>
      </c>
      <c r="N425" s="49" t="s">
        <v>254</v>
      </c>
    </row>
    <row r="426" spans="1:14" ht="27.9" customHeight="1" x14ac:dyDescent="0.3">
      <c r="A426" s="31"/>
      <c r="B426" s="30"/>
      <c r="C426" s="31"/>
      <c r="D426" s="31"/>
      <c r="E426" s="30"/>
      <c r="F426" s="31"/>
      <c r="G426" s="31"/>
      <c r="H426" s="30"/>
      <c r="I426" s="31" t="str">
        <f>IF(F426="","",IF(F426="Tecnicatura en composición coreográfica en ddv fusión","Jime",CONCATENATE(VLOOKUP(G426,OPCIONES!D:E,2,0),VLOOKUP(H426,OPCIONES!$G$2:$H$8,2,0))))</f>
        <v/>
      </c>
      <c r="J426" s="49">
        <f t="shared" si="7"/>
        <v>15000</v>
      </c>
      <c r="K426" s="49" t="s">
        <v>91</v>
      </c>
      <c r="L426" s="49" t="s">
        <v>176</v>
      </c>
      <c r="N426" s="49" t="s">
        <v>254</v>
      </c>
    </row>
    <row r="427" spans="1:14" ht="27.9" customHeight="1" x14ac:dyDescent="0.3">
      <c r="A427" s="31"/>
      <c r="B427" s="30"/>
      <c r="C427" s="31"/>
      <c r="D427" s="31"/>
      <c r="E427" s="30"/>
      <c r="F427" s="31"/>
      <c r="G427" s="31"/>
      <c r="H427" s="30"/>
      <c r="I427" s="31" t="str">
        <f>IF(F427="","",IF(F427="Tecnicatura en composición coreográfica en ddv fusión","Jime",CONCATENATE(VLOOKUP(G427,OPCIONES!D:E,2,0),VLOOKUP(H427,OPCIONES!$G$2:$H$8,2,0))))</f>
        <v/>
      </c>
      <c r="J427" s="49">
        <f t="shared" si="7"/>
        <v>15000</v>
      </c>
      <c r="K427" s="49" t="s">
        <v>91</v>
      </c>
      <c r="L427" s="49" t="s">
        <v>176</v>
      </c>
      <c r="N427" s="49" t="s">
        <v>254</v>
      </c>
    </row>
    <row r="428" spans="1:14" ht="27.9" customHeight="1" x14ac:dyDescent="0.3">
      <c r="A428" s="31"/>
      <c r="B428" s="30"/>
      <c r="C428" s="31"/>
      <c r="D428" s="31"/>
      <c r="E428" s="30"/>
      <c r="F428" s="31"/>
      <c r="G428" s="31"/>
      <c r="H428" s="30"/>
      <c r="I428" s="31" t="str">
        <f>IF(F428="","",IF(F428="Tecnicatura en composición coreográfica en ddv fusión","Jime",CONCATENATE(VLOOKUP(G428,OPCIONES!D:E,2,0),VLOOKUP(H428,OPCIONES!$G$2:$H$8,2,0))))</f>
        <v/>
      </c>
      <c r="J428" s="49">
        <f t="shared" si="7"/>
        <v>15000</v>
      </c>
      <c r="K428" s="49" t="s">
        <v>91</v>
      </c>
      <c r="L428" s="49" t="s">
        <v>176</v>
      </c>
      <c r="N428" s="49" t="s">
        <v>254</v>
      </c>
    </row>
    <row r="429" spans="1:14" ht="27.9" customHeight="1" x14ac:dyDescent="0.3">
      <c r="A429" s="31"/>
      <c r="B429" s="30"/>
      <c r="C429" s="31"/>
      <c r="D429" s="31"/>
      <c r="E429" s="30"/>
      <c r="F429" s="31"/>
      <c r="G429" s="31"/>
      <c r="H429" s="30"/>
      <c r="I429" s="31" t="str">
        <f>IF(F429="","",IF(F429="Tecnicatura en composición coreográfica en ddv fusión","Jime",CONCATENATE(VLOOKUP(G429,OPCIONES!D:E,2,0),VLOOKUP(H429,OPCIONES!$G$2:$H$8,2,0))))</f>
        <v/>
      </c>
      <c r="J429" s="49">
        <f t="shared" si="7"/>
        <v>15000</v>
      </c>
      <c r="K429" s="49" t="s">
        <v>91</v>
      </c>
      <c r="L429" s="49" t="s">
        <v>176</v>
      </c>
      <c r="N429" s="49" t="s">
        <v>254</v>
      </c>
    </row>
    <row r="430" spans="1:14" ht="27.9" customHeight="1" x14ac:dyDescent="0.3">
      <c r="A430" s="31"/>
      <c r="B430" s="30"/>
      <c r="C430" s="31"/>
      <c r="D430" s="31"/>
      <c r="E430" s="30"/>
      <c r="F430" s="31"/>
      <c r="G430" s="31"/>
      <c r="H430" s="30"/>
      <c r="I430" s="31" t="str">
        <f>IF(F430="","",IF(F430="Tecnicatura en composición coreográfica en ddv fusión","Jime",CONCATENATE(VLOOKUP(G430,OPCIONES!D:E,2,0),VLOOKUP(H430,OPCIONES!$G$2:$H$8,2,0))))</f>
        <v/>
      </c>
      <c r="J430" s="49">
        <f t="shared" si="7"/>
        <v>15000</v>
      </c>
      <c r="K430" s="49" t="s">
        <v>91</v>
      </c>
      <c r="L430" s="49" t="s">
        <v>176</v>
      </c>
      <c r="N430" s="49" t="s">
        <v>254</v>
      </c>
    </row>
    <row r="431" spans="1:14" ht="27.9" customHeight="1" x14ac:dyDescent="0.3">
      <c r="A431" s="31"/>
      <c r="B431" s="30"/>
      <c r="C431" s="31"/>
      <c r="D431" s="31"/>
      <c r="E431" s="30"/>
      <c r="F431" s="31"/>
      <c r="G431" s="31"/>
      <c r="H431" s="30"/>
      <c r="I431" s="31" t="str">
        <f>IF(F431="","",IF(F431="Tecnicatura en composición coreográfica en ddv fusión","Jime",CONCATENATE(VLOOKUP(G431,OPCIONES!D:E,2,0),VLOOKUP(H431,OPCIONES!$G$2:$H$8,2,0))))</f>
        <v/>
      </c>
      <c r="J431" s="49">
        <f t="shared" si="7"/>
        <v>15000</v>
      </c>
      <c r="K431" s="49" t="s">
        <v>91</v>
      </c>
      <c r="L431" s="49" t="s">
        <v>176</v>
      </c>
      <c r="N431" s="49" t="s">
        <v>254</v>
      </c>
    </row>
    <row r="432" spans="1:14" ht="27.9" customHeight="1" x14ac:dyDescent="0.3">
      <c r="A432" s="31"/>
      <c r="B432" s="30"/>
      <c r="C432" s="31"/>
      <c r="D432" s="31"/>
      <c r="E432" s="30"/>
      <c r="F432" s="31"/>
      <c r="G432" s="31"/>
      <c r="H432" s="30"/>
      <c r="I432" s="31" t="str">
        <f>IF(F432="","",IF(F432="Tecnicatura en composición coreográfica en ddv fusión","Jime",CONCATENATE(VLOOKUP(G432,OPCIONES!D:E,2,0),VLOOKUP(H432,OPCIONES!$G$2:$H$8,2,0))))</f>
        <v/>
      </c>
      <c r="J432" s="49">
        <f t="shared" si="7"/>
        <v>15000</v>
      </c>
      <c r="K432" s="49" t="s">
        <v>91</v>
      </c>
      <c r="L432" s="49" t="s">
        <v>176</v>
      </c>
      <c r="N432" s="49" t="s">
        <v>254</v>
      </c>
    </row>
    <row r="433" spans="1:14" ht="27.9" customHeight="1" x14ac:dyDescent="0.3">
      <c r="A433" s="31"/>
      <c r="B433" s="30"/>
      <c r="C433" s="31"/>
      <c r="D433" s="31"/>
      <c r="E433" s="30"/>
      <c r="F433" s="31"/>
      <c r="G433" s="31"/>
      <c r="H433" s="30"/>
      <c r="I433" s="31" t="str">
        <f>IF(F433="","",IF(F433="Tecnicatura en composición coreográfica en ddv fusión","Jime",CONCATENATE(VLOOKUP(G433,OPCIONES!D:E,2,0),VLOOKUP(H433,OPCIONES!$G$2:$H$8,2,0))))</f>
        <v/>
      </c>
      <c r="J433" s="49">
        <f t="shared" si="7"/>
        <v>15000</v>
      </c>
      <c r="K433" s="49" t="s">
        <v>91</v>
      </c>
      <c r="L433" s="49" t="s">
        <v>176</v>
      </c>
      <c r="N433" s="49" t="s">
        <v>254</v>
      </c>
    </row>
    <row r="434" spans="1:14" ht="27.9" customHeight="1" x14ac:dyDescent="0.3">
      <c r="A434" s="31"/>
      <c r="B434" s="30"/>
      <c r="C434" s="31"/>
      <c r="D434" s="31"/>
      <c r="E434" s="30"/>
      <c r="F434" s="31"/>
      <c r="G434" s="31"/>
      <c r="H434" s="30"/>
      <c r="I434" s="31" t="str">
        <f>IF(F434="","",IF(F434="Tecnicatura en composición coreográfica en ddv fusión","Jime",CONCATENATE(VLOOKUP(G434,OPCIONES!D:E,2,0),VLOOKUP(H434,OPCIONES!$G$2:$H$8,2,0))))</f>
        <v/>
      </c>
      <c r="J434" s="49">
        <f t="shared" si="7"/>
        <v>15000</v>
      </c>
      <c r="K434" s="49" t="s">
        <v>91</v>
      </c>
      <c r="L434" s="49" t="s">
        <v>176</v>
      </c>
      <c r="N434" s="49" t="s">
        <v>254</v>
      </c>
    </row>
    <row r="435" spans="1:14" ht="27.9" customHeight="1" x14ac:dyDescent="0.3">
      <c r="A435" s="31"/>
      <c r="B435" s="30"/>
      <c r="C435" s="31"/>
      <c r="D435" s="31"/>
      <c r="E435" s="30"/>
      <c r="F435" s="31"/>
      <c r="G435" s="31"/>
      <c r="H435" s="30"/>
      <c r="I435" s="31" t="str">
        <f>IF(F435="","",IF(F435="Tecnicatura en composición coreográfica en ddv fusión","Jime",CONCATENATE(VLOOKUP(G435,OPCIONES!D:E,2,0),VLOOKUP(H435,OPCIONES!$G$2:$H$8,2,0))))</f>
        <v/>
      </c>
      <c r="J435" s="49">
        <f t="shared" si="7"/>
        <v>15000</v>
      </c>
      <c r="K435" s="49" t="s">
        <v>91</v>
      </c>
      <c r="L435" s="49" t="s">
        <v>176</v>
      </c>
      <c r="N435" s="49" t="s">
        <v>254</v>
      </c>
    </row>
    <row r="436" spans="1:14" ht="27.9" customHeight="1" x14ac:dyDescent="0.3">
      <c r="A436" s="31"/>
      <c r="B436" s="30"/>
      <c r="C436" s="31"/>
      <c r="D436" s="31"/>
      <c r="E436" s="30"/>
      <c r="F436" s="31"/>
      <c r="G436" s="31"/>
      <c r="H436" s="30"/>
      <c r="I436" s="31" t="str">
        <f>IF(F436="","",IF(F436="Tecnicatura en composición coreográfica en ddv fusión","Jime",CONCATENATE(VLOOKUP(G436,OPCIONES!D:E,2,0),VLOOKUP(H436,OPCIONES!$G$2:$H$8,2,0))))</f>
        <v/>
      </c>
      <c r="J436" s="49">
        <f t="shared" si="7"/>
        <v>15000</v>
      </c>
      <c r="K436" s="49" t="s">
        <v>91</v>
      </c>
      <c r="L436" s="49" t="s">
        <v>176</v>
      </c>
      <c r="N436" s="49" t="s">
        <v>254</v>
      </c>
    </row>
    <row r="437" spans="1:14" ht="27.9" customHeight="1" x14ac:dyDescent="0.3">
      <c r="A437" s="31"/>
      <c r="B437" s="30"/>
      <c r="C437" s="31"/>
      <c r="D437" s="31"/>
      <c r="E437" s="30"/>
      <c r="F437" s="31"/>
      <c r="G437" s="31"/>
      <c r="H437" s="30"/>
      <c r="I437" s="31" t="str">
        <f>IF(F437="","",IF(F437="Tecnicatura en composición coreográfica en ddv fusión","Jime",CONCATENATE(VLOOKUP(G437,OPCIONES!D:E,2,0),VLOOKUP(H437,OPCIONES!$G$2:$H$8,2,0))))</f>
        <v/>
      </c>
      <c r="J437" s="49">
        <f t="shared" si="7"/>
        <v>15000</v>
      </c>
      <c r="K437" s="49" t="s">
        <v>91</v>
      </c>
      <c r="L437" s="49" t="s">
        <v>176</v>
      </c>
      <c r="N437" s="49" t="s">
        <v>254</v>
      </c>
    </row>
    <row r="438" spans="1:14" ht="27.9" customHeight="1" x14ac:dyDescent="0.3">
      <c r="A438" s="31"/>
      <c r="B438" s="30"/>
      <c r="C438" s="31"/>
      <c r="D438" s="31"/>
      <c r="E438" s="30"/>
      <c r="F438" s="31"/>
      <c r="G438" s="31"/>
      <c r="H438" s="30"/>
      <c r="I438" s="31" t="str">
        <f>IF(F438="","",IF(F438="Tecnicatura en composición coreográfica en ddv fusión","Jime",CONCATENATE(VLOOKUP(G438,OPCIONES!D:E,2,0),VLOOKUP(H438,OPCIONES!$G$2:$H$8,2,0))))</f>
        <v/>
      </c>
      <c r="J438" s="49">
        <f t="shared" si="7"/>
        <v>15000</v>
      </c>
      <c r="K438" s="49" t="s">
        <v>91</v>
      </c>
      <c r="L438" s="49" t="s">
        <v>176</v>
      </c>
      <c r="N438" s="49" t="s">
        <v>254</v>
      </c>
    </row>
    <row r="439" spans="1:14" ht="27.9" customHeight="1" x14ac:dyDescent="0.3">
      <c r="A439" s="31"/>
      <c r="B439" s="30"/>
      <c r="C439" s="31"/>
      <c r="D439" s="31"/>
      <c r="E439" s="30"/>
      <c r="F439" s="31"/>
      <c r="G439" s="31"/>
      <c r="H439" s="30"/>
      <c r="I439" s="31" t="str">
        <f>IF(F439="","",IF(F439="Tecnicatura en composición coreográfica en ddv fusión","Jime",CONCATENATE(VLOOKUP(G439,OPCIONES!D:E,2,0),VLOOKUP(H439,OPCIONES!$G$2:$H$8,2,0))))</f>
        <v/>
      </c>
      <c r="J439" s="49">
        <f t="shared" si="7"/>
        <v>15000</v>
      </c>
      <c r="K439" s="49" t="s">
        <v>91</v>
      </c>
      <c r="L439" s="49" t="s">
        <v>176</v>
      </c>
      <c r="N439" s="49" t="s">
        <v>254</v>
      </c>
    </row>
    <row r="440" spans="1:14" ht="27.9" customHeight="1" x14ac:dyDescent="0.3">
      <c r="A440" s="31"/>
      <c r="B440" s="30"/>
      <c r="C440" s="31"/>
      <c r="D440" s="31"/>
      <c r="E440" s="30"/>
      <c r="F440" s="31"/>
      <c r="G440" s="31"/>
      <c r="H440" s="30"/>
      <c r="I440" s="31" t="str">
        <f>IF(F440="","",IF(F440="Tecnicatura en composición coreográfica en ddv fusión","Jime",CONCATENATE(VLOOKUP(G440,OPCIONES!D:E,2,0),VLOOKUP(H440,OPCIONES!$G$2:$H$8,2,0))))</f>
        <v/>
      </c>
      <c r="J440" s="49">
        <f t="shared" si="7"/>
        <v>15000</v>
      </c>
      <c r="K440" s="49" t="s">
        <v>91</v>
      </c>
      <c r="L440" s="49" t="s">
        <v>176</v>
      </c>
      <c r="N440" s="49" t="s">
        <v>254</v>
      </c>
    </row>
    <row r="441" spans="1:14" ht="27.9" customHeight="1" x14ac:dyDescent="0.3">
      <c r="A441" s="31"/>
      <c r="B441" s="30"/>
      <c r="C441" s="31"/>
      <c r="D441" s="31"/>
      <c r="E441" s="30"/>
      <c r="F441" s="31"/>
      <c r="G441" s="31"/>
      <c r="H441" s="30"/>
      <c r="I441" s="31" t="str">
        <f>IF(F441="","",IF(F441="Tecnicatura en composición coreográfica en ddv fusión","Jime",CONCATENATE(VLOOKUP(G441,OPCIONES!D:E,2,0),VLOOKUP(H441,OPCIONES!$G$2:$H$8,2,0))))</f>
        <v/>
      </c>
      <c r="J441" s="49">
        <f t="shared" si="7"/>
        <v>15000</v>
      </c>
      <c r="K441" s="49" t="s">
        <v>91</v>
      </c>
      <c r="L441" s="49" t="s">
        <v>176</v>
      </c>
      <c r="N441" s="49" t="s">
        <v>254</v>
      </c>
    </row>
    <row r="442" spans="1:14" ht="27.9" customHeight="1" x14ac:dyDescent="0.3">
      <c r="A442" s="31"/>
      <c r="B442" s="30"/>
      <c r="C442" s="31"/>
      <c r="D442" s="31"/>
      <c r="E442" s="30"/>
      <c r="F442" s="31"/>
      <c r="G442" s="31"/>
      <c r="H442" s="30"/>
      <c r="I442" s="31" t="str">
        <f>IF(F442="","",IF(F442="Tecnicatura en composición coreográfica en ddv fusión","Jime",CONCATENATE(VLOOKUP(G442,OPCIONES!D:E,2,0),VLOOKUP(H442,OPCIONES!$G$2:$H$8,2,0))))</f>
        <v/>
      </c>
      <c r="J442" s="49">
        <f t="shared" si="7"/>
        <v>15000</v>
      </c>
      <c r="K442" s="49" t="s">
        <v>91</v>
      </c>
      <c r="L442" s="49" t="s">
        <v>176</v>
      </c>
      <c r="N442" s="49" t="s">
        <v>254</v>
      </c>
    </row>
    <row r="443" spans="1:14" ht="27.9" customHeight="1" x14ac:dyDescent="0.3">
      <c r="A443" s="31"/>
      <c r="B443" s="30"/>
      <c r="C443" s="31"/>
      <c r="D443" s="31"/>
      <c r="E443" s="30"/>
      <c r="F443" s="31"/>
      <c r="G443" s="31"/>
      <c r="H443" s="30"/>
      <c r="I443" s="31" t="str">
        <f>IF(F443="","",IF(F443="Tecnicatura en composición coreográfica en ddv fusión","Jime",CONCATENATE(VLOOKUP(G443,OPCIONES!D:E,2,0),VLOOKUP(H443,OPCIONES!$G$2:$H$8,2,0))))</f>
        <v/>
      </c>
      <c r="J443" s="49">
        <f t="shared" si="7"/>
        <v>15000</v>
      </c>
      <c r="K443" s="49" t="s">
        <v>91</v>
      </c>
      <c r="L443" s="49" t="s">
        <v>176</v>
      </c>
      <c r="N443" s="49" t="s">
        <v>254</v>
      </c>
    </row>
    <row r="444" spans="1:14" ht="27.9" customHeight="1" x14ac:dyDescent="0.3">
      <c r="A444" s="31"/>
      <c r="B444" s="30"/>
      <c r="C444" s="31"/>
      <c r="D444" s="31"/>
      <c r="E444" s="30"/>
      <c r="F444" s="31"/>
      <c r="G444" s="31"/>
      <c r="H444" s="30"/>
      <c r="I444" s="31" t="str">
        <f>IF(F444="","",IF(F444="Tecnicatura en composición coreográfica en ddv fusión","Jime",CONCATENATE(VLOOKUP(G444,OPCIONES!D:E,2,0),VLOOKUP(H444,OPCIONES!$G$2:$H$8,2,0))))</f>
        <v/>
      </c>
      <c r="J444" s="49">
        <f t="shared" si="7"/>
        <v>15000</v>
      </c>
      <c r="K444" s="49" t="s">
        <v>91</v>
      </c>
      <c r="L444" s="49" t="s">
        <v>176</v>
      </c>
      <c r="N444" s="49" t="s">
        <v>254</v>
      </c>
    </row>
    <row r="445" spans="1:14" ht="27.9" customHeight="1" x14ac:dyDescent="0.3">
      <c r="A445" s="31"/>
      <c r="B445" s="30"/>
      <c r="C445" s="31"/>
      <c r="D445" s="31"/>
      <c r="E445" s="30"/>
      <c r="F445" s="31"/>
      <c r="G445" s="31"/>
      <c r="H445" s="30"/>
      <c r="I445" s="31" t="str">
        <f>IF(F445="","",IF(F445="Tecnicatura en composición coreográfica en ddv fusión","Jime",CONCATENATE(VLOOKUP(G445,OPCIONES!D:E,2,0),VLOOKUP(H445,OPCIONES!$G$2:$H$8,2,0))))</f>
        <v/>
      </c>
      <c r="J445" s="49">
        <f t="shared" si="7"/>
        <v>15000</v>
      </c>
      <c r="K445" s="49" t="s">
        <v>91</v>
      </c>
      <c r="L445" s="49" t="s">
        <v>176</v>
      </c>
      <c r="N445" s="49" t="s">
        <v>254</v>
      </c>
    </row>
    <row r="446" spans="1:14" ht="27.9" customHeight="1" x14ac:dyDescent="0.3">
      <c r="A446" s="31"/>
      <c r="B446" s="30"/>
      <c r="C446" s="31"/>
      <c r="D446" s="31"/>
      <c r="E446" s="30"/>
      <c r="F446" s="31"/>
      <c r="G446" s="31"/>
      <c r="H446" s="30"/>
      <c r="I446" s="31" t="str">
        <f>IF(F446="","",IF(F446="Tecnicatura en composición coreográfica en ddv fusión","Jime",CONCATENATE(VLOOKUP(G446,OPCIONES!D:E,2,0),VLOOKUP(H446,OPCIONES!$G$2:$H$8,2,0))))</f>
        <v/>
      </c>
      <c r="J446" s="49">
        <f t="shared" si="7"/>
        <v>15000</v>
      </c>
      <c r="K446" s="49" t="s">
        <v>91</v>
      </c>
      <c r="L446" s="49" t="s">
        <v>176</v>
      </c>
      <c r="N446" s="49" t="s">
        <v>254</v>
      </c>
    </row>
    <row r="447" spans="1:14" ht="27.9" customHeight="1" x14ac:dyDescent="0.3">
      <c r="A447" s="31"/>
      <c r="B447" s="30"/>
      <c r="C447" s="31"/>
      <c r="D447" s="31"/>
      <c r="E447" s="30"/>
      <c r="F447" s="31"/>
      <c r="G447" s="31"/>
      <c r="H447" s="30"/>
      <c r="I447" s="31" t="str">
        <f>IF(F447="","",IF(F447="Tecnicatura en composición coreográfica en ddv fusión","Jime",CONCATENATE(VLOOKUP(G447,OPCIONES!D:E,2,0),VLOOKUP(H447,OPCIONES!$G$2:$H$8,2,0))))</f>
        <v/>
      </c>
      <c r="J447" s="49">
        <f t="shared" si="7"/>
        <v>15000</v>
      </c>
      <c r="K447" s="49" t="s">
        <v>91</v>
      </c>
      <c r="L447" s="49" t="s">
        <v>176</v>
      </c>
      <c r="N447" s="49" t="s">
        <v>254</v>
      </c>
    </row>
    <row r="448" spans="1:14" ht="27.9" customHeight="1" x14ac:dyDescent="0.3">
      <c r="A448" s="31"/>
      <c r="B448" s="30"/>
      <c r="C448" s="31"/>
      <c r="D448" s="31"/>
      <c r="E448" s="30"/>
      <c r="F448" s="31"/>
      <c r="G448" s="31"/>
      <c r="H448" s="30"/>
      <c r="I448" s="31" t="str">
        <f>IF(F448="","",IF(F448="Tecnicatura en composición coreográfica en ddv fusión","Jime",CONCATENATE(VLOOKUP(G448,OPCIONES!D:E,2,0),VLOOKUP(H448,OPCIONES!$G$2:$H$8,2,0))))</f>
        <v/>
      </c>
      <c r="J448" s="49">
        <f t="shared" si="7"/>
        <v>15000</v>
      </c>
      <c r="K448" s="49" t="s">
        <v>91</v>
      </c>
      <c r="L448" s="49" t="s">
        <v>176</v>
      </c>
      <c r="N448" s="49" t="s">
        <v>254</v>
      </c>
    </row>
    <row r="449" spans="1:14" ht="27.9" customHeight="1" x14ac:dyDescent="0.3">
      <c r="A449" s="31"/>
      <c r="B449" s="30"/>
      <c r="C449" s="31"/>
      <c r="D449" s="31"/>
      <c r="E449" s="30"/>
      <c r="F449" s="31"/>
      <c r="G449" s="31"/>
      <c r="H449" s="30"/>
      <c r="I449" s="31" t="str">
        <f>IF(F449="","",IF(F449="Tecnicatura en composición coreográfica en ddv fusión","Jime",CONCATENATE(VLOOKUP(G449,OPCIONES!D:E,2,0),VLOOKUP(H449,OPCIONES!$G$2:$H$8,2,0))))</f>
        <v/>
      </c>
      <c r="J449" s="49">
        <f t="shared" si="7"/>
        <v>15000</v>
      </c>
      <c r="K449" s="49" t="s">
        <v>91</v>
      </c>
      <c r="L449" s="49" t="s">
        <v>176</v>
      </c>
      <c r="N449" s="49" t="s">
        <v>254</v>
      </c>
    </row>
    <row r="450" spans="1:14" ht="27.9" customHeight="1" x14ac:dyDescent="0.3">
      <c r="A450" s="31"/>
      <c r="B450" s="30"/>
      <c r="C450" s="31"/>
      <c r="D450" s="31"/>
      <c r="E450" s="30"/>
      <c r="F450" s="31"/>
      <c r="G450" s="31"/>
      <c r="H450" s="30"/>
      <c r="I450" s="31" t="str">
        <f>IF(F450="","",IF(F450="Tecnicatura en composición coreográfica en ddv fusión","Jime",CONCATENATE(VLOOKUP(G450,OPCIONES!D:E,2,0),VLOOKUP(H450,OPCIONES!$G$2:$H$8,2,0))))</f>
        <v/>
      </c>
      <c r="J450" s="49">
        <f t="shared" si="7"/>
        <v>15000</v>
      </c>
      <c r="K450" s="49" t="s">
        <v>91</v>
      </c>
      <c r="L450" s="49" t="s">
        <v>176</v>
      </c>
      <c r="N450" s="49" t="s">
        <v>254</v>
      </c>
    </row>
    <row r="451" spans="1:14" ht="27.9" customHeight="1" x14ac:dyDescent="0.3">
      <c r="A451" s="31"/>
      <c r="B451" s="30"/>
      <c r="C451" s="31"/>
      <c r="D451" s="31"/>
      <c r="E451" s="30"/>
      <c r="F451" s="31"/>
      <c r="G451" s="31"/>
      <c r="H451" s="30"/>
      <c r="I451" s="31" t="str">
        <f>IF(F451="","",IF(F451="Tecnicatura en composición coreográfica en ddv fusión","Jime",CONCATENATE(VLOOKUP(G451,OPCIONES!D:E,2,0),VLOOKUP(H451,OPCIONES!$G$2:$H$8,2,0))))</f>
        <v/>
      </c>
      <c r="J451" s="49">
        <f t="shared" si="7"/>
        <v>15000</v>
      </c>
      <c r="K451" s="49" t="s">
        <v>91</v>
      </c>
      <c r="L451" s="49" t="s">
        <v>176</v>
      </c>
      <c r="N451" s="49" t="s">
        <v>254</v>
      </c>
    </row>
    <row r="452" spans="1:14" ht="27.9" customHeight="1" x14ac:dyDescent="0.3">
      <c r="A452" s="31"/>
      <c r="B452" s="30"/>
      <c r="C452" s="31"/>
      <c r="D452" s="31"/>
      <c r="E452" s="30"/>
      <c r="F452" s="31"/>
      <c r="G452" s="31"/>
      <c r="H452" s="30"/>
      <c r="I452" s="31" t="str">
        <f>IF(F452="","",IF(F452="Tecnicatura en composición coreográfica en ddv fusión","Jime",CONCATENATE(VLOOKUP(G452,OPCIONES!D:E,2,0),VLOOKUP(H452,OPCIONES!$G$2:$H$8,2,0))))</f>
        <v/>
      </c>
      <c r="J452" s="49">
        <f t="shared" si="7"/>
        <v>15000</v>
      </c>
      <c r="K452" s="49" t="s">
        <v>91</v>
      </c>
      <c r="L452" s="49" t="s">
        <v>176</v>
      </c>
      <c r="N452" s="49" t="s">
        <v>254</v>
      </c>
    </row>
    <row r="453" spans="1:14" ht="27.9" customHeight="1" x14ac:dyDescent="0.3">
      <c r="A453" s="31"/>
      <c r="B453" s="30"/>
      <c r="C453" s="31"/>
      <c r="D453" s="31"/>
      <c r="E453" s="30"/>
      <c r="F453" s="31"/>
      <c r="G453" s="31"/>
      <c r="H453" s="30"/>
      <c r="I453" s="31" t="str">
        <f>IF(F453="","",IF(F453="Tecnicatura en composición coreográfica en ddv fusión","Jime",CONCATENATE(VLOOKUP(G453,OPCIONES!D:E,2,0),VLOOKUP(H453,OPCIONES!$G$2:$H$8,2,0))))</f>
        <v/>
      </c>
      <c r="J453" s="49">
        <f t="shared" si="7"/>
        <v>15000</v>
      </c>
      <c r="K453" s="49" t="s">
        <v>91</v>
      </c>
      <c r="L453" s="49" t="s">
        <v>176</v>
      </c>
      <c r="N453" s="49" t="s">
        <v>254</v>
      </c>
    </row>
    <row r="454" spans="1:14" ht="27.9" customHeight="1" x14ac:dyDescent="0.3">
      <c r="A454" s="31"/>
      <c r="B454" s="30"/>
      <c r="C454" s="31"/>
      <c r="D454" s="31"/>
      <c r="E454" s="30"/>
      <c r="F454" s="31"/>
      <c r="G454" s="31"/>
      <c r="H454" s="30"/>
      <c r="I454" s="31" t="str">
        <f>IF(F454="","",IF(F454="Tecnicatura en composición coreográfica en ddv fusión","Jime",CONCATENATE(VLOOKUP(G454,OPCIONES!D:E,2,0),VLOOKUP(H454,OPCIONES!$G$2:$H$8,2,0))))</f>
        <v/>
      </c>
      <c r="J454" s="49">
        <f t="shared" ref="J454:J517" si="8">$I$1</f>
        <v>15000</v>
      </c>
      <c r="K454" s="49" t="s">
        <v>91</v>
      </c>
      <c r="L454" s="49" t="s">
        <v>176</v>
      </c>
      <c r="N454" s="49" t="s">
        <v>254</v>
      </c>
    </row>
    <row r="455" spans="1:14" ht="27.9" customHeight="1" x14ac:dyDescent="0.3">
      <c r="A455" s="31"/>
      <c r="B455" s="30"/>
      <c r="C455" s="31"/>
      <c r="D455" s="31"/>
      <c r="E455" s="30"/>
      <c r="F455" s="31"/>
      <c r="G455" s="31"/>
      <c r="H455" s="30"/>
      <c r="I455" s="31" t="str">
        <f>IF(F455="","",IF(F455="Tecnicatura en composición coreográfica en ddv fusión","Jime",CONCATENATE(VLOOKUP(G455,OPCIONES!D:E,2,0),VLOOKUP(H455,OPCIONES!$G$2:$H$8,2,0))))</f>
        <v/>
      </c>
      <c r="J455" s="49">
        <f t="shared" si="8"/>
        <v>15000</v>
      </c>
      <c r="K455" s="49" t="s">
        <v>91</v>
      </c>
      <c r="L455" s="49" t="s">
        <v>176</v>
      </c>
      <c r="N455" s="49" t="s">
        <v>254</v>
      </c>
    </row>
    <row r="456" spans="1:14" ht="27.9" customHeight="1" x14ac:dyDescent="0.3">
      <c r="A456" s="31"/>
      <c r="B456" s="30"/>
      <c r="C456" s="31"/>
      <c r="D456" s="31"/>
      <c r="E456" s="30"/>
      <c r="F456" s="31"/>
      <c r="G456" s="31"/>
      <c r="H456" s="30"/>
      <c r="I456" s="31" t="str">
        <f>IF(F456="","",IF(F456="Tecnicatura en composición coreográfica en ddv fusión","Jime",CONCATENATE(VLOOKUP(G456,OPCIONES!D:E,2,0),VLOOKUP(H456,OPCIONES!$G$2:$H$8,2,0))))</f>
        <v/>
      </c>
      <c r="J456" s="49">
        <f t="shared" si="8"/>
        <v>15000</v>
      </c>
      <c r="K456" s="49" t="s">
        <v>91</v>
      </c>
      <c r="L456" s="49" t="s">
        <v>176</v>
      </c>
      <c r="N456" s="49" t="s">
        <v>254</v>
      </c>
    </row>
    <row r="457" spans="1:14" ht="27.9" customHeight="1" x14ac:dyDescent="0.3">
      <c r="A457" s="31"/>
      <c r="B457" s="30"/>
      <c r="C457" s="31"/>
      <c r="D457" s="31"/>
      <c r="E457" s="30"/>
      <c r="F457" s="31"/>
      <c r="G457" s="31"/>
      <c r="H457" s="30"/>
      <c r="I457" s="31" t="str">
        <f>IF(F457="","",IF(F457="Tecnicatura en composición coreográfica en ddv fusión","Jime",CONCATENATE(VLOOKUP(G457,OPCIONES!D:E,2,0),VLOOKUP(H457,OPCIONES!$G$2:$H$8,2,0))))</f>
        <v/>
      </c>
      <c r="J457" s="49">
        <f t="shared" si="8"/>
        <v>15000</v>
      </c>
      <c r="K457" s="49" t="s">
        <v>91</v>
      </c>
      <c r="L457" s="49" t="s">
        <v>176</v>
      </c>
      <c r="N457" s="49" t="s">
        <v>254</v>
      </c>
    </row>
    <row r="458" spans="1:14" ht="27.9" customHeight="1" x14ac:dyDescent="0.3">
      <c r="A458" s="31"/>
      <c r="B458" s="30"/>
      <c r="C458" s="31"/>
      <c r="D458" s="31"/>
      <c r="E458" s="30"/>
      <c r="F458" s="31"/>
      <c r="G458" s="31"/>
      <c r="H458" s="30"/>
      <c r="I458" s="31" t="str">
        <f>IF(F458="","",IF(F458="Tecnicatura en composición coreográfica en ddv fusión","Jime",CONCATENATE(VLOOKUP(G458,OPCIONES!D:E,2,0),VLOOKUP(H458,OPCIONES!$G$2:$H$8,2,0))))</f>
        <v/>
      </c>
      <c r="J458" s="49">
        <f t="shared" si="8"/>
        <v>15000</v>
      </c>
      <c r="K458" s="49" t="s">
        <v>91</v>
      </c>
      <c r="L458" s="49" t="s">
        <v>176</v>
      </c>
      <c r="N458" s="49" t="s">
        <v>254</v>
      </c>
    </row>
    <row r="459" spans="1:14" ht="27.9" customHeight="1" x14ac:dyDescent="0.3">
      <c r="A459" s="31"/>
      <c r="B459" s="30"/>
      <c r="C459" s="31"/>
      <c r="D459" s="31"/>
      <c r="E459" s="30"/>
      <c r="F459" s="31"/>
      <c r="G459" s="31"/>
      <c r="H459" s="30"/>
      <c r="I459" s="31" t="str">
        <f>IF(F459="","",IF(F459="Tecnicatura en composición coreográfica en ddv fusión","Jime",CONCATENATE(VLOOKUP(G459,OPCIONES!D:E,2,0),VLOOKUP(H459,OPCIONES!$G$2:$H$8,2,0))))</f>
        <v/>
      </c>
      <c r="J459" s="49">
        <f t="shared" si="8"/>
        <v>15000</v>
      </c>
      <c r="K459" s="49" t="s">
        <v>91</v>
      </c>
      <c r="L459" s="49" t="s">
        <v>176</v>
      </c>
      <c r="N459" s="49" t="s">
        <v>254</v>
      </c>
    </row>
    <row r="460" spans="1:14" ht="27.9" customHeight="1" x14ac:dyDescent="0.3">
      <c r="A460" s="31"/>
      <c r="B460" s="30"/>
      <c r="C460" s="31"/>
      <c r="D460" s="31"/>
      <c r="E460" s="30"/>
      <c r="F460" s="31"/>
      <c r="G460" s="31"/>
      <c r="H460" s="30"/>
      <c r="I460" s="31" t="str">
        <f>IF(F460="","",IF(F460="Tecnicatura en composición coreográfica en ddv fusión","Jime",CONCATENATE(VLOOKUP(G460,OPCIONES!D:E,2,0),VLOOKUP(H460,OPCIONES!$G$2:$H$8,2,0))))</f>
        <v/>
      </c>
      <c r="J460" s="49">
        <f t="shared" si="8"/>
        <v>15000</v>
      </c>
      <c r="K460" s="49" t="s">
        <v>91</v>
      </c>
      <c r="L460" s="49" t="s">
        <v>176</v>
      </c>
      <c r="N460" s="49" t="s">
        <v>254</v>
      </c>
    </row>
    <row r="461" spans="1:14" ht="27.9" customHeight="1" x14ac:dyDescent="0.3">
      <c r="A461" s="31"/>
      <c r="B461" s="30"/>
      <c r="C461" s="31"/>
      <c r="D461" s="31"/>
      <c r="E461" s="30"/>
      <c r="F461" s="31"/>
      <c r="G461" s="31"/>
      <c r="H461" s="30"/>
      <c r="I461" s="31" t="str">
        <f>IF(F461="","",IF(F461="Tecnicatura en composición coreográfica en ddv fusión","Jime",CONCATENATE(VLOOKUP(G461,OPCIONES!D:E,2,0),VLOOKUP(H461,OPCIONES!$G$2:$H$8,2,0))))</f>
        <v/>
      </c>
      <c r="J461" s="49">
        <f t="shared" si="8"/>
        <v>15000</v>
      </c>
      <c r="K461" s="49" t="s">
        <v>91</v>
      </c>
      <c r="L461" s="49" t="s">
        <v>176</v>
      </c>
      <c r="N461" s="49" t="s">
        <v>254</v>
      </c>
    </row>
    <row r="462" spans="1:14" ht="27.9" customHeight="1" x14ac:dyDescent="0.3">
      <c r="A462" s="31"/>
      <c r="B462" s="30"/>
      <c r="C462" s="31"/>
      <c r="D462" s="31"/>
      <c r="E462" s="30"/>
      <c r="F462" s="31"/>
      <c r="G462" s="31"/>
      <c r="H462" s="30"/>
      <c r="I462" s="31" t="str">
        <f>IF(F462="","",IF(F462="Tecnicatura en composición coreográfica en ddv fusión","Jime",CONCATENATE(VLOOKUP(G462,OPCIONES!D:E,2,0),VLOOKUP(H462,OPCIONES!$G$2:$H$8,2,0))))</f>
        <v/>
      </c>
      <c r="J462" s="49">
        <f t="shared" si="8"/>
        <v>15000</v>
      </c>
      <c r="K462" s="49" t="s">
        <v>91</v>
      </c>
      <c r="L462" s="49" t="s">
        <v>176</v>
      </c>
      <c r="N462" s="49" t="s">
        <v>254</v>
      </c>
    </row>
    <row r="463" spans="1:14" ht="27.9" customHeight="1" x14ac:dyDescent="0.3">
      <c r="A463" s="31"/>
      <c r="B463" s="30"/>
      <c r="C463" s="31"/>
      <c r="D463" s="31"/>
      <c r="E463" s="30"/>
      <c r="F463" s="31"/>
      <c r="G463" s="31"/>
      <c r="H463" s="30"/>
      <c r="I463" s="31" t="str">
        <f>IF(F463="","",IF(F463="Tecnicatura en composición coreográfica en ddv fusión","Jime",CONCATENATE(VLOOKUP(G463,OPCIONES!D:E,2,0),VLOOKUP(H463,OPCIONES!$G$2:$H$8,2,0))))</f>
        <v/>
      </c>
      <c r="J463" s="49">
        <f t="shared" si="8"/>
        <v>15000</v>
      </c>
      <c r="K463" s="49" t="s">
        <v>91</v>
      </c>
      <c r="L463" s="49" t="s">
        <v>176</v>
      </c>
      <c r="N463" s="49" t="s">
        <v>254</v>
      </c>
    </row>
    <row r="464" spans="1:14" ht="27.9" customHeight="1" x14ac:dyDescent="0.3">
      <c r="A464" s="31"/>
      <c r="B464" s="30"/>
      <c r="C464" s="31"/>
      <c r="D464" s="31"/>
      <c r="E464" s="30"/>
      <c r="F464" s="31"/>
      <c r="G464" s="31"/>
      <c r="H464" s="30"/>
      <c r="I464" s="31" t="str">
        <f>IF(F464="","",IF(F464="Tecnicatura en composición coreográfica en ddv fusión","Jime",CONCATENATE(VLOOKUP(G464,OPCIONES!D:E,2,0),VLOOKUP(H464,OPCIONES!$G$2:$H$8,2,0))))</f>
        <v/>
      </c>
      <c r="J464" s="49">
        <f t="shared" si="8"/>
        <v>15000</v>
      </c>
      <c r="K464" s="49" t="s">
        <v>91</v>
      </c>
      <c r="L464" s="49" t="s">
        <v>176</v>
      </c>
      <c r="N464" s="49" t="s">
        <v>254</v>
      </c>
    </row>
    <row r="465" spans="1:14" ht="27.9" customHeight="1" x14ac:dyDescent="0.3">
      <c r="A465" s="31"/>
      <c r="B465" s="30"/>
      <c r="C465" s="31"/>
      <c r="D465" s="31"/>
      <c r="E465" s="30"/>
      <c r="F465" s="31"/>
      <c r="G465" s="31"/>
      <c r="H465" s="30"/>
      <c r="I465" s="31" t="str">
        <f>IF(F465="","",IF(F465="Tecnicatura en composición coreográfica en ddv fusión","Jime",CONCATENATE(VLOOKUP(G465,OPCIONES!D:E,2,0),VLOOKUP(H465,OPCIONES!$G$2:$H$8,2,0))))</f>
        <v/>
      </c>
      <c r="J465" s="49">
        <f t="shared" si="8"/>
        <v>15000</v>
      </c>
      <c r="K465" s="49" t="s">
        <v>91</v>
      </c>
      <c r="L465" s="49" t="s">
        <v>176</v>
      </c>
      <c r="N465" s="49" t="s">
        <v>254</v>
      </c>
    </row>
    <row r="466" spans="1:14" ht="27.9" customHeight="1" x14ac:dyDescent="0.3">
      <c r="A466" s="31"/>
      <c r="B466" s="30"/>
      <c r="C466" s="31"/>
      <c r="D466" s="31"/>
      <c r="E466" s="30"/>
      <c r="F466" s="31"/>
      <c r="G466" s="31"/>
      <c r="H466" s="30"/>
      <c r="I466" s="31" t="str">
        <f>IF(F466="","",IF(F466="Tecnicatura en composición coreográfica en ddv fusión","Jime",CONCATENATE(VLOOKUP(G466,OPCIONES!D:E,2,0),VLOOKUP(H466,OPCIONES!$G$2:$H$8,2,0))))</f>
        <v/>
      </c>
      <c r="J466" s="49">
        <f t="shared" si="8"/>
        <v>15000</v>
      </c>
      <c r="K466" s="49" t="s">
        <v>91</v>
      </c>
      <c r="L466" s="49" t="s">
        <v>176</v>
      </c>
      <c r="N466" s="49" t="s">
        <v>254</v>
      </c>
    </row>
    <row r="467" spans="1:14" ht="27.9" customHeight="1" x14ac:dyDescent="0.3">
      <c r="A467" s="31"/>
      <c r="B467" s="30"/>
      <c r="C467" s="31"/>
      <c r="D467" s="31"/>
      <c r="E467" s="30"/>
      <c r="F467" s="31"/>
      <c r="G467" s="31"/>
      <c r="H467" s="30"/>
      <c r="I467" s="31" t="str">
        <f>IF(F467="","",IF(F467="Tecnicatura en composición coreográfica en ddv fusión","Jime",CONCATENATE(VLOOKUP(G467,OPCIONES!D:E,2,0),VLOOKUP(H467,OPCIONES!$G$2:$H$8,2,0))))</f>
        <v/>
      </c>
      <c r="J467" s="49">
        <f t="shared" si="8"/>
        <v>15000</v>
      </c>
      <c r="K467" s="49" t="s">
        <v>91</v>
      </c>
      <c r="L467" s="49" t="s">
        <v>176</v>
      </c>
      <c r="N467" s="49" t="s">
        <v>254</v>
      </c>
    </row>
    <row r="468" spans="1:14" ht="27.9" customHeight="1" x14ac:dyDescent="0.3">
      <c r="A468" s="31"/>
      <c r="B468" s="30"/>
      <c r="C468" s="31"/>
      <c r="D468" s="31"/>
      <c r="E468" s="30"/>
      <c r="F468" s="31"/>
      <c r="G468" s="31"/>
      <c r="H468" s="30"/>
      <c r="I468" s="31" t="str">
        <f>IF(F468="","",IF(F468="Tecnicatura en composición coreográfica en ddv fusión","Jime",CONCATENATE(VLOOKUP(G468,OPCIONES!D:E,2,0),VLOOKUP(H468,OPCIONES!$G$2:$H$8,2,0))))</f>
        <v/>
      </c>
      <c r="J468" s="49">
        <f t="shared" si="8"/>
        <v>15000</v>
      </c>
      <c r="K468" s="49" t="s">
        <v>91</v>
      </c>
      <c r="L468" s="49" t="s">
        <v>176</v>
      </c>
      <c r="N468" s="49" t="s">
        <v>254</v>
      </c>
    </row>
    <row r="469" spans="1:14" ht="27.9" customHeight="1" x14ac:dyDescent="0.3">
      <c r="A469" s="31"/>
      <c r="B469" s="30"/>
      <c r="C469" s="31"/>
      <c r="D469" s="31"/>
      <c r="E469" s="30"/>
      <c r="F469" s="31"/>
      <c r="G469" s="31"/>
      <c r="H469" s="30"/>
      <c r="I469" s="31" t="str">
        <f>IF(F469="","",IF(F469="Tecnicatura en composición coreográfica en ddv fusión","Jime",CONCATENATE(VLOOKUP(G469,OPCIONES!D:E,2,0),VLOOKUP(H469,OPCIONES!$G$2:$H$8,2,0))))</f>
        <v/>
      </c>
      <c r="J469" s="49">
        <f t="shared" si="8"/>
        <v>15000</v>
      </c>
      <c r="K469" s="49" t="s">
        <v>91</v>
      </c>
      <c r="L469" s="49" t="s">
        <v>176</v>
      </c>
      <c r="N469" s="49" t="s">
        <v>254</v>
      </c>
    </row>
    <row r="470" spans="1:14" ht="27.9" customHeight="1" x14ac:dyDescent="0.3">
      <c r="A470" s="31"/>
      <c r="B470" s="30"/>
      <c r="C470" s="31"/>
      <c r="D470" s="31"/>
      <c r="E470" s="30"/>
      <c r="F470" s="31"/>
      <c r="G470" s="31"/>
      <c r="H470" s="30"/>
      <c r="I470" s="31" t="str">
        <f>IF(F470="","",IF(F470="Tecnicatura en composición coreográfica en ddv fusión","Jime",CONCATENATE(VLOOKUP(G470,OPCIONES!D:E,2,0),VLOOKUP(H470,OPCIONES!$G$2:$H$8,2,0))))</f>
        <v/>
      </c>
      <c r="J470" s="49">
        <f t="shared" si="8"/>
        <v>15000</v>
      </c>
      <c r="K470" s="49" t="s">
        <v>91</v>
      </c>
      <c r="L470" s="49" t="s">
        <v>176</v>
      </c>
      <c r="N470" s="49" t="s">
        <v>254</v>
      </c>
    </row>
    <row r="471" spans="1:14" ht="27.9" customHeight="1" x14ac:dyDescent="0.3">
      <c r="A471" s="31"/>
      <c r="B471" s="30"/>
      <c r="C471" s="31"/>
      <c r="D471" s="31"/>
      <c r="E471" s="30"/>
      <c r="F471" s="31"/>
      <c r="G471" s="31"/>
      <c r="H471" s="30"/>
      <c r="I471" s="31" t="str">
        <f>IF(F471="","",IF(F471="Tecnicatura en composición coreográfica en ddv fusión","Jime",CONCATENATE(VLOOKUP(G471,OPCIONES!D:E,2,0),VLOOKUP(H471,OPCIONES!$G$2:$H$8,2,0))))</f>
        <v/>
      </c>
      <c r="J471" s="49">
        <f t="shared" si="8"/>
        <v>15000</v>
      </c>
      <c r="K471" s="49" t="s">
        <v>91</v>
      </c>
      <c r="L471" s="49" t="s">
        <v>176</v>
      </c>
      <c r="N471" s="49" t="s">
        <v>254</v>
      </c>
    </row>
    <row r="472" spans="1:14" ht="27.9" customHeight="1" x14ac:dyDescent="0.3">
      <c r="A472" s="31"/>
      <c r="B472" s="30"/>
      <c r="C472" s="31"/>
      <c r="D472" s="31"/>
      <c r="E472" s="30"/>
      <c r="F472" s="31"/>
      <c r="G472" s="31"/>
      <c r="H472" s="30"/>
      <c r="I472" s="31" t="str">
        <f>IF(F472="","",IF(F472="Tecnicatura en composición coreográfica en ddv fusión","Jime",CONCATENATE(VLOOKUP(G472,OPCIONES!D:E,2,0),VLOOKUP(H472,OPCIONES!$G$2:$H$8,2,0))))</f>
        <v/>
      </c>
      <c r="J472" s="49">
        <f t="shared" si="8"/>
        <v>15000</v>
      </c>
      <c r="K472" s="49" t="s">
        <v>91</v>
      </c>
      <c r="L472" s="49" t="s">
        <v>176</v>
      </c>
      <c r="N472" s="49" t="s">
        <v>254</v>
      </c>
    </row>
    <row r="473" spans="1:14" ht="27.9" customHeight="1" x14ac:dyDescent="0.3">
      <c r="A473" s="31"/>
      <c r="B473" s="30"/>
      <c r="C473" s="31"/>
      <c r="D473" s="31"/>
      <c r="E473" s="30"/>
      <c r="F473" s="31"/>
      <c r="G473" s="31"/>
      <c r="H473" s="30"/>
      <c r="I473" s="31" t="str">
        <f>IF(F473="","",IF(F473="Tecnicatura en composición coreográfica en ddv fusión","Jime",CONCATENATE(VLOOKUP(G473,OPCIONES!D:E,2,0),VLOOKUP(H473,OPCIONES!$G$2:$H$8,2,0))))</f>
        <v/>
      </c>
      <c r="J473" s="49">
        <f t="shared" si="8"/>
        <v>15000</v>
      </c>
      <c r="K473" s="49" t="s">
        <v>91</v>
      </c>
      <c r="L473" s="49" t="s">
        <v>176</v>
      </c>
      <c r="N473" s="49" t="s">
        <v>254</v>
      </c>
    </row>
    <row r="474" spans="1:14" ht="27.9" customHeight="1" x14ac:dyDescent="0.3">
      <c r="A474" s="31"/>
      <c r="B474" s="30"/>
      <c r="C474" s="31"/>
      <c r="D474" s="31"/>
      <c r="E474" s="30"/>
      <c r="F474" s="31"/>
      <c r="G474" s="31"/>
      <c r="H474" s="30"/>
      <c r="I474" s="31" t="str">
        <f>IF(F474="","",IF(F474="Tecnicatura en composición coreográfica en ddv fusión","Jime",CONCATENATE(VLOOKUP(G474,OPCIONES!D:E,2,0),VLOOKUP(H474,OPCIONES!$G$2:$H$8,2,0))))</f>
        <v/>
      </c>
      <c r="J474" s="49">
        <f t="shared" si="8"/>
        <v>15000</v>
      </c>
      <c r="K474" s="49" t="s">
        <v>91</v>
      </c>
      <c r="L474" s="49" t="s">
        <v>176</v>
      </c>
      <c r="N474" s="49" t="s">
        <v>254</v>
      </c>
    </row>
    <row r="475" spans="1:14" ht="27.9" customHeight="1" x14ac:dyDescent="0.3">
      <c r="A475" s="31"/>
      <c r="B475" s="30"/>
      <c r="C475" s="31"/>
      <c r="D475" s="31"/>
      <c r="E475" s="30"/>
      <c r="F475" s="31"/>
      <c r="G475" s="31"/>
      <c r="H475" s="30"/>
      <c r="I475" s="31" t="str">
        <f>IF(F475="","",IF(F475="Tecnicatura en composición coreográfica en ddv fusión","Jime",CONCATENATE(VLOOKUP(G475,OPCIONES!D:E,2,0),VLOOKUP(H475,OPCIONES!$G$2:$H$8,2,0))))</f>
        <v/>
      </c>
      <c r="J475" s="49">
        <f t="shared" si="8"/>
        <v>15000</v>
      </c>
      <c r="K475" s="49" t="s">
        <v>91</v>
      </c>
      <c r="L475" s="49" t="s">
        <v>176</v>
      </c>
      <c r="N475" s="49" t="s">
        <v>254</v>
      </c>
    </row>
    <row r="476" spans="1:14" ht="27.9" customHeight="1" x14ac:dyDescent="0.3">
      <c r="A476" s="31"/>
      <c r="B476" s="30"/>
      <c r="C476" s="31"/>
      <c r="D476" s="31"/>
      <c r="E476" s="30"/>
      <c r="F476" s="31"/>
      <c r="G476" s="31"/>
      <c r="H476" s="30"/>
      <c r="I476" s="31" t="str">
        <f>IF(F476="","",IF(F476="Tecnicatura en composición coreográfica en ddv fusión","Jime",CONCATENATE(VLOOKUP(G476,OPCIONES!D:E,2,0),VLOOKUP(H476,OPCIONES!$G$2:$H$8,2,0))))</f>
        <v/>
      </c>
      <c r="J476" s="49">
        <f t="shared" si="8"/>
        <v>15000</v>
      </c>
      <c r="K476" s="49" t="s">
        <v>91</v>
      </c>
      <c r="L476" s="49" t="s">
        <v>176</v>
      </c>
      <c r="N476" s="49" t="s">
        <v>254</v>
      </c>
    </row>
    <row r="477" spans="1:14" ht="27.9" customHeight="1" x14ac:dyDescent="0.3">
      <c r="A477" s="31"/>
      <c r="B477" s="30"/>
      <c r="C477" s="31"/>
      <c r="D477" s="31"/>
      <c r="E477" s="30"/>
      <c r="F477" s="31"/>
      <c r="G477" s="31"/>
      <c r="H477" s="30"/>
      <c r="I477" s="31" t="str">
        <f>IF(F477="","",IF(F477="Tecnicatura en composición coreográfica en ddv fusión","Jime",CONCATENATE(VLOOKUP(G477,OPCIONES!D:E,2,0),VLOOKUP(H477,OPCIONES!$G$2:$H$8,2,0))))</f>
        <v/>
      </c>
      <c r="J477" s="49">
        <f t="shared" si="8"/>
        <v>15000</v>
      </c>
      <c r="K477" s="49" t="s">
        <v>91</v>
      </c>
      <c r="L477" s="49" t="s">
        <v>176</v>
      </c>
      <c r="N477" s="49" t="s">
        <v>254</v>
      </c>
    </row>
    <row r="478" spans="1:14" ht="27.9" customHeight="1" x14ac:dyDescent="0.3">
      <c r="A478" s="31"/>
      <c r="B478" s="30"/>
      <c r="C478" s="31"/>
      <c r="D478" s="31"/>
      <c r="E478" s="30"/>
      <c r="F478" s="31"/>
      <c r="G478" s="31"/>
      <c r="H478" s="30"/>
      <c r="I478" s="31" t="str">
        <f>IF(F478="","",IF(F478="Tecnicatura en composición coreográfica en ddv fusión","Jime",CONCATENATE(VLOOKUP(G478,OPCIONES!D:E,2,0),VLOOKUP(H478,OPCIONES!$G$2:$H$8,2,0))))</f>
        <v/>
      </c>
      <c r="J478" s="49">
        <f t="shared" si="8"/>
        <v>15000</v>
      </c>
      <c r="K478" s="49" t="s">
        <v>91</v>
      </c>
      <c r="L478" s="49" t="s">
        <v>176</v>
      </c>
      <c r="N478" s="49" t="s">
        <v>254</v>
      </c>
    </row>
    <row r="479" spans="1:14" ht="27.9" customHeight="1" x14ac:dyDescent="0.3">
      <c r="A479" s="31"/>
      <c r="B479" s="30"/>
      <c r="C479" s="31"/>
      <c r="D479" s="31"/>
      <c r="E479" s="30"/>
      <c r="F479" s="31"/>
      <c r="G479" s="31"/>
      <c r="H479" s="30"/>
      <c r="I479" s="31" t="str">
        <f>IF(F479="","",IF(F479="Tecnicatura en composición coreográfica en ddv fusión","Jime",CONCATENATE(VLOOKUP(G479,OPCIONES!D:E,2,0),VLOOKUP(H479,OPCIONES!$G$2:$H$8,2,0))))</f>
        <v/>
      </c>
      <c r="J479" s="49">
        <f t="shared" si="8"/>
        <v>15000</v>
      </c>
      <c r="K479" s="49" t="s">
        <v>91</v>
      </c>
      <c r="L479" s="49" t="s">
        <v>176</v>
      </c>
      <c r="N479" s="49" t="s">
        <v>254</v>
      </c>
    </row>
    <row r="480" spans="1:14" ht="27.9" customHeight="1" x14ac:dyDescent="0.3">
      <c r="A480" s="31"/>
      <c r="B480" s="30"/>
      <c r="C480" s="31"/>
      <c r="D480" s="31"/>
      <c r="E480" s="30"/>
      <c r="F480" s="31"/>
      <c r="G480" s="31"/>
      <c r="H480" s="30"/>
      <c r="I480" s="31" t="str">
        <f>IF(F480="","",IF(F480="Tecnicatura en composición coreográfica en ddv fusión","Jime",CONCATENATE(VLOOKUP(G480,OPCIONES!D:E,2,0),VLOOKUP(H480,OPCIONES!$G$2:$H$8,2,0))))</f>
        <v/>
      </c>
      <c r="J480" s="49">
        <f t="shared" si="8"/>
        <v>15000</v>
      </c>
      <c r="K480" s="49" t="s">
        <v>91</v>
      </c>
      <c r="L480" s="49" t="s">
        <v>176</v>
      </c>
      <c r="N480" s="49" t="s">
        <v>254</v>
      </c>
    </row>
    <row r="481" spans="1:14" ht="27.9" customHeight="1" x14ac:dyDescent="0.3">
      <c r="A481" s="31"/>
      <c r="B481" s="30"/>
      <c r="C481" s="31"/>
      <c r="D481" s="31"/>
      <c r="E481" s="30"/>
      <c r="F481" s="31"/>
      <c r="G481" s="31"/>
      <c r="H481" s="30"/>
      <c r="I481" s="31" t="str">
        <f>IF(F481="","",IF(F481="Tecnicatura en composición coreográfica en ddv fusión","Jime",CONCATENATE(VLOOKUP(G481,OPCIONES!D:E,2,0),VLOOKUP(H481,OPCIONES!$G$2:$H$8,2,0))))</f>
        <v/>
      </c>
      <c r="J481" s="49">
        <f t="shared" si="8"/>
        <v>15000</v>
      </c>
      <c r="K481" s="49" t="s">
        <v>91</v>
      </c>
      <c r="L481" s="49" t="s">
        <v>176</v>
      </c>
      <c r="N481" s="49" t="s">
        <v>254</v>
      </c>
    </row>
    <row r="482" spans="1:14" ht="27.9" customHeight="1" x14ac:dyDescent="0.3">
      <c r="A482" s="31"/>
      <c r="B482" s="30"/>
      <c r="C482" s="31"/>
      <c r="D482" s="31"/>
      <c r="E482" s="30"/>
      <c r="F482" s="31"/>
      <c r="G482" s="31"/>
      <c r="H482" s="30"/>
      <c r="I482" s="31" t="str">
        <f>IF(F482="","",IF(F482="Tecnicatura en composición coreográfica en ddv fusión","Jime",CONCATENATE(VLOOKUP(G482,OPCIONES!D:E,2,0),VLOOKUP(H482,OPCIONES!$G$2:$H$8,2,0))))</f>
        <v/>
      </c>
      <c r="J482" s="49">
        <f t="shared" si="8"/>
        <v>15000</v>
      </c>
      <c r="K482" s="49" t="s">
        <v>91</v>
      </c>
      <c r="L482" s="49" t="s">
        <v>176</v>
      </c>
      <c r="N482" s="49" t="s">
        <v>254</v>
      </c>
    </row>
    <row r="483" spans="1:14" ht="27.9" customHeight="1" x14ac:dyDescent="0.3">
      <c r="A483" s="31"/>
      <c r="B483" s="30"/>
      <c r="C483" s="31"/>
      <c r="D483" s="31"/>
      <c r="E483" s="30"/>
      <c r="F483" s="31"/>
      <c r="G483" s="31"/>
      <c r="H483" s="30"/>
      <c r="I483" s="31" t="str">
        <f>IF(F483="","",IF(F483="Tecnicatura en composición coreográfica en ddv fusión","Jime",CONCATENATE(VLOOKUP(G483,OPCIONES!D:E,2,0),VLOOKUP(H483,OPCIONES!$G$2:$H$8,2,0))))</f>
        <v/>
      </c>
      <c r="J483" s="49">
        <f t="shared" si="8"/>
        <v>15000</v>
      </c>
      <c r="K483" s="49" t="s">
        <v>91</v>
      </c>
      <c r="L483" s="49" t="s">
        <v>176</v>
      </c>
      <c r="N483" s="49" t="s">
        <v>254</v>
      </c>
    </row>
    <row r="484" spans="1:14" ht="27.9" customHeight="1" x14ac:dyDescent="0.3">
      <c r="A484" s="31"/>
      <c r="B484" s="30"/>
      <c r="C484" s="31"/>
      <c r="D484" s="31"/>
      <c r="E484" s="30"/>
      <c r="F484" s="31"/>
      <c r="G484" s="31"/>
      <c r="H484" s="30"/>
      <c r="I484" s="31" t="str">
        <f>IF(F484="","",IF(F484="Tecnicatura en composición coreográfica en ddv fusión","Jime",CONCATENATE(VLOOKUP(G484,OPCIONES!D:E,2,0),VLOOKUP(H484,OPCIONES!$G$2:$H$8,2,0))))</f>
        <v/>
      </c>
      <c r="J484" s="49">
        <f t="shared" si="8"/>
        <v>15000</v>
      </c>
      <c r="K484" s="49" t="s">
        <v>91</v>
      </c>
      <c r="L484" s="49" t="s">
        <v>176</v>
      </c>
      <c r="N484" s="49" t="s">
        <v>254</v>
      </c>
    </row>
    <row r="485" spans="1:14" ht="27.9" customHeight="1" x14ac:dyDescent="0.3">
      <c r="A485" s="31"/>
      <c r="B485" s="30"/>
      <c r="C485" s="31"/>
      <c r="D485" s="31"/>
      <c r="E485" s="30"/>
      <c r="F485" s="31"/>
      <c r="G485" s="31"/>
      <c r="H485" s="30"/>
      <c r="I485" s="31" t="str">
        <f>IF(F485="","",IF(F485="Tecnicatura en composición coreográfica en ddv fusión","Jime",CONCATENATE(VLOOKUP(G485,OPCIONES!D:E,2,0),VLOOKUP(H485,OPCIONES!$G$2:$H$8,2,0))))</f>
        <v/>
      </c>
      <c r="J485" s="49">
        <f t="shared" si="8"/>
        <v>15000</v>
      </c>
      <c r="K485" s="49" t="s">
        <v>91</v>
      </c>
      <c r="L485" s="49" t="s">
        <v>176</v>
      </c>
      <c r="N485" s="49" t="s">
        <v>254</v>
      </c>
    </row>
    <row r="486" spans="1:14" ht="27.9" customHeight="1" x14ac:dyDescent="0.3">
      <c r="A486" s="31"/>
      <c r="B486" s="30"/>
      <c r="C486" s="31"/>
      <c r="D486" s="31"/>
      <c r="E486" s="30"/>
      <c r="F486" s="31"/>
      <c r="G486" s="31"/>
      <c r="H486" s="30"/>
      <c r="I486" s="31" t="str">
        <f>IF(F486="","",IF(F486="Tecnicatura en composición coreográfica en ddv fusión","Jime",CONCATENATE(VLOOKUP(G486,OPCIONES!D:E,2,0),VLOOKUP(H486,OPCIONES!$G$2:$H$8,2,0))))</f>
        <v/>
      </c>
      <c r="J486" s="49">
        <f t="shared" si="8"/>
        <v>15000</v>
      </c>
      <c r="K486" s="49" t="s">
        <v>91</v>
      </c>
      <c r="L486" s="49" t="s">
        <v>176</v>
      </c>
      <c r="N486" s="49" t="s">
        <v>254</v>
      </c>
    </row>
    <row r="487" spans="1:14" ht="27.9" customHeight="1" x14ac:dyDescent="0.3">
      <c r="A487" s="31"/>
      <c r="B487" s="30"/>
      <c r="C487" s="31"/>
      <c r="D487" s="31"/>
      <c r="E487" s="30"/>
      <c r="F487" s="31"/>
      <c r="G487" s="31"/>
      <c r="H487" s="30"/>
      <c r="I487" s="31" t="str">
        <f>IF(F487="","",IF(F487="Tecnicatura en composición coreográfica en ddv fusión","Jime",CONCATENATE(VLOOKUP(G487,OPCIONES!D:E,2,0),VLOOKUP(H487,OPCIONES!$G$2:$H$8,2,0))))</f>
        <v/>
      </c>
      <c r="J487" s="49">
        <f t="shared" si="8"/>
        <v>15000</v>
      </c>
      <c r="K487" s="49" t="s">
        <v>91</v>
      </c>
      <c r="L487" s="49" t="s">
        <v>176</v>
      </c>
      <c r="N487" s="49" t="s">
        <v>254</v>
      </c>
    </row>
    <row r="488" spans="1:14" ht="27.9" customHeight="1" x14ac:dyDescent="0.3">
      <c r="A488" s="31"/>
      <c r="B488" s="30"/>
      <c r="C488" s="31"/>
      <c r="D488" s="31"/>
      <c r="E488" s="30"/>
      <c r="F488" s="31"/>
      <c r="G488" s="31"/>
      <c r="H488" s="30"/>
      <c r="I488" s="31" t="str">
        <f>IF(F488="","",IF(F488="Tecnicatura en composición coreográfica en ddv fusión","Jime",CONCATENATE(VLOOKUP(G488,OPCIONES!D:E,2,0),VLOOKUP(H488,OPCIONES!$G$2:$H$8,2,0))))</f>
        <v/>
      </c>
      <c r="J488" s="49">
        <f t="shared" si="8"/>
        <v>15000</v>
      </c>
      <c r="K488" s="49" t="s">
        <v>91</v>
      </c>
      <c r="L488" s="49" t="s">
        <v>176</v>
      </c>
      <c r="N488" s="49" t="s">
        <v>254</v>
      </c>
    </row>
    <row r="489" spans="1:14" ht="27.9" customHeight="1" x14ac:dyDescent="0.3">
      <c r="A489" s="31"/>
      <c r="B489" s="30"/>
      <c r="C489" s="31"/>
      <c r="D489" s="31"/>
      <c r="E489" s="30"/>
      <c r="F489" s="31"/>
      <c r="G489" s="31"/>
      <c r="H489" s="30"/>
      <c r="I489" s="31" t="str">
        <f>IF(F489="","",IF(F489="Tecnicatura en composición coreográfica en ddv fusión","Jime",CONCATENATE(VLOOKUP(G489,OPCIONES!D:E,2,0),VLOOKUP(H489,OPCIONES!$G$2:$H$8,2,0))))</f>
        <v/>
      </c>
      <c r="J489" s="49">
        <f t="shared" si="8"/>
        <v>15000</v>
      </c>
      <c r="K489" s="49" t="s">
        <v>91</v>
      </c>
      <c r="L489" s="49" t="s">
        <v>176</v>
      </c>
      <c r="N489" s="49" t="s">
        <v>254</v>
      </c>
    </row>
    <row r="490" spans="1:14" ht="27.9" customHeight="1" x14ac:dyDescent="0.3">
      <c r="A490" s="31"/>
      <c r="B490" s="30"/>
      <c r="C490" s="31"/>
      <c r="D490" s="31"/>
      <c r="E490" s="30"/>
      <c r="F490" s="31"/>
      <c r="G490" s="31"/>
      <c r="H490" s="30"/>
      <c r="I490" s="31" t="str">
        <f>IF(F490="","",IF(F490="Tecnicatura en composición coreográfica en ddv fusión","Jime",CONCATENATE(VLOOKUP(G490,OPCIONES!D:E,2,0),VLOOKUP(H490,OPCIONES!$G$2:$H$8,2,0))))</f>
        <v/>
      </c>
      <c r="J490" s="49">
        <f t="shared" si="8"/>
        <v>15000</v>
      </c>
      <c r="K490" s="49" t="s">
        <v>91</v>
      </c>
      <c r="L490" s="49" t="s">
        <v>176</v>
      </c>
      <c r="N490" s="49" t="s">
        <v>254</v>
      </c>
    </row>
    <row r="491" spans="1:14" ht="27.9" customHeight="1" x14ac:dyDescent="0.3">
      <c r="A491" s="31"/>
      <c r="B491" s="30"/>
      <c r="C491" s="31"/>
      <c r="D491" s="31"/>
      <c r="E491" s="30"/>
      <c r="F491" s="31"/>
      <c r="G491" s="31"/>
      <c r="H491" s="30"/>
      <c r="I491" s="31" t="str">
        <f>IF(F491="","",IF(F491="Tecnicatura en composición coreográfica en ddv fusión","Jime",CONCATENATE(VLOOKUP(G491,OPCIONES!D:E,2,0),VLOOKUP(H491,OPCIONES!$G$2:$H$8,2,0))))</f>
        <v/>
      </c>
      <c r="J491" s="49">
        <f t="shared" si="8"/>
        <v>15000</v>
      </c>
      <c r="K491" s="49" t="s">
        <v>91</v>
      </c>
      <c r="L491" s="49" t="s">
        <v>176</v>
      </c>
      <c r="N491" s="49" t="s">
        <v>254</v>
      </c>
    </row>
    <row r="492" spans="1:14" ht="27.9" customHeight="1" x14ac:dyDescent="0.3">
      <c r="A492" s="31"/>
      <c r="B492" s="30"/>
      <c r="C492" s="31"/>
      <c r="D492" s="31"/>
      <c r="E492" s="30"/>
      <c r="F492" s="31"/>
      <c r="G492" s="31"/>
      <c r="H492" s="30"/>
      <c r="I492" s="31" t="str">
        <f>IF(F492="","",IF(F492="Tecnicatura en composición coreográfica en ddv fusión","Jime",CONCATENATE(VLOOKUP(G492,OPCIONES!D:E,2,0),VLOOKUP(H492,OPCIONES!$G$2:$H$8,2,0))))</f>
        <v/>
      </c>
      <c r="J492" s="49">
        <f t="shared" si="8"/>
        <v>15000</v>
      </c>
      <c r="K492" s="49" t="s">
        <v>91</v>
      </c>
      <c r="L492" s="49" t="s">
        <v>176</v>
      </c>
      <c r="N492" s="49" t="s">
        <v>254</v>
      </c>
    </row>
    <row r="493" spans="1:14" ht="27.9" customHeight="1" x14ac:dyDescent="0.3">
      <c r="A493" s="31"/>
      <c r="B493" s="30"/>
      <c r="C493" s="31"/>
      <c r="D493" s="31"/>
      <c r="E493" s="30"/>
      <c r="F493" s="31"/>
      <c r="G493" s="31"/>
      <c r="H493" s="30"/>
      <c r="I493" s="31" t="str">
        <f>IF(F493="","",IF(F493="Tecnicatura en composición coreográfica en ddv fusión","Jime",CONCATENATE(VLOOKUP(G493,OPCIONES!D:E,2,0),VLOOKUP(H493,OPCIONES!$G$2:$H$8,2,0))))</f>
        <v/>
      </c>
      <c r="J493" s="49">
        <f t="shared" si="8"/>
        <v>15000</v>
      </c>
      <c r="K493" s="49" t="s">
        <v>91</v>
      </c>
      <c r="L493" s="49" t="s">
        <v>176</v>
      </c>
      <c r="N493" s="49" t="s">
        <v>254</v>
      </c>
    </row>
    <row r="494" spans="1:14" ht="27.9" customHeight="1" x14ac:dyDescent="0.3">
      <c r="A494" s="31"/>
      <c r="B494" s="30"/>
      <c r="C494" s="31"/>
      <c r="D494" s="31"/>
      <c r="E494" s="30"/>
      <c r="F494" s="31"/>
      <c r="G494" s="31"/>
      <c r="H494" s="30"/>
      <c r="I494" s="31" t="str">
        <f>IF(F494="","",IF(F494="Tecnicatura en composición coreográfica en ddv fusión","Jime",CONCATENATE(VLOOKUP(G494,OPCIONES!D:E,2,0),VLOOKUP(H494,OPCIONES!$G$2:$H$8,2,0))))</f>
        <v/>
      </c>
      <c r="J494" s="49">
        <f t="shared" si="8"/>
        <v>15000</v>
      </c>
      <c r="K494" s="49" t="s">
        <v>91</v>
      </c>
      <c r="L494" s="49" t="s">
        <v>176</v>
      </c>
      <c r="N494" s="49" t="s">
        <v>254</v>
      </c>
    </row>
    <row r="495" spans="1:14" ht="27.9" customHeight="1" x14ac:dyDescent="0.3">
      <c r="A495" s="31"/>
      <c r="B495" s="30"/>
      <c r="C495" s="31"/>
      <c r="D495" s="31"/>
      <c r="E495" s="30"/>
      <c r="F495" s="31"/>
      <c r="G495" s="31"/>
      <c r="H495" s="30"/>
      <c r="I495" s="31" t="str">
        <f>IF(F495="","",IF(F495="Tecnicatura en composición coreográfica en ddv fusión","Jime",CONCATENATE(VLOOKUP(G495,OPCIONES!D:E,2,0),VLOOKUP(H495,OPCIONES!$G$2:$H$8,2,0))))</f>
        <v/>
      </c>
      <c r="J495" s="49">
        <f t="shared" si="8"/>
        <v>15000</v>
      </c>
      <c r="K495" s="49" t="s">
        <v>91</v>
      </c>
      <c r="L495" s="49" t="s">
        <v>176</v>
      </c>
      <c r="N495" s="49" t="s">
        <v>254</v>
      </c>
    </row>
    <row r="496" spans="1:14" ht="27.9" customHeight="1" x14ac:dyDescent="0.3">
      <c r="A496" s="31"/>
      <c r="B496" s="30"/>
      <c r="C496" s="31"/>
      <c r="D496" s="31"/>
      <c r="E496" s="30"/>
      <c r="F496" s="31"/>
      <c r="G496" s="31"/>
      <c r="H496" s="30"/>
      <c r="I496" s="31" t="str">
        <f>IF(F496="","",IF(F496="Tecnicatura en composición coreográfica en ddv fusión","Jime",CONCATENATE(VLOOKUP(G496,OPCIONES!D:E,2,0),VLOOKUP(H496,OPCIONES!$G$2:$H$8,2,0))))</f>
        <v/>
      </c>
      <c r="J496" s="49">
        <f t="shared" si="8"/>
        <v>15000</v>
      </c>
      <c r="K496" s="49" t="s">
        <v>91</v>
      </c>
      <c r="L496" s="49" t="s">
        <v>176</v>
      </c>
      <c r="N496" s="49" t="s">
        <v>254</v>
      </c>
    </row>
    <row r="497" spans="1:14" ht="27.9" customHeight="1" x14ac:dyDescent="0.3">
      <c r="A497" s="31"/>
      <c r="B497" s="30"/>
      <c r="C497" s="31"/>
      <c r="D497" s="31"/>
      <c r="E497" s="30"/>
      <c r="F497" s="31"/>
      <c r="G497" s="31"/>
      <c r="H497" s="30"/>
      <c r="I497" s="31" t="str">
        <f>IF(F497="","",IF(F497="Tecnicatura en composición coreográfica en ddv fusión","Jime",CONCATENATE(VLOOKUP(G497,OPCIONES!D:E,2,0),VLOOKUP(H497,OPCIONES!$G$2:$H$8,2,0))))</f>
        <v/>
      </c>
      <c r="J497" s="49">
        <f t="shared" si="8"/>
        <v>15000</v>
      </c>
      <c r="K497" s="49" t="s">
        <v>91</v>
      </c>
      <c r="L497" s="49" t="s">
        <v>176</v>
      </c>
      <c r="N497" s="49" t="s">
        <v>254</v>
      </c>
    </row>
    <row r="498" spans="1:14" ht="27.9" customHeight="1" x14ac:dyDescent="0.3">
      <c r="A498" s="31"/>
      <c r="B498" s="30"/>
      <c r="C498" s="31"/>
      <c r="D498" s="31"/>
      <c r="E498" s="30"/>
      <c r="F498" s="31"/>
      <c r="G498" s="31"/>
      <c r="H498" s="30"/>
      <c r="I498" s="31" t="str">
        <f>IF(F498="","",IF(F498="Tecnicatura en composición coreográfica en ddv fusión","Jime",CONCATENATE(VLOOKUP(G498,OPCIONES!D:E,2,0),VLOOKUP(H498,OPCIONES!$G$2:$H$8,2,0))))</f>
        <v/>
      </c>
      <c r="J498" s="49">
        <f t="shared" si="8"/>
        <v>15000</v>
      </c>
      <c r="K498" s="49" t="s">
        <v>91</v>
      </c>
      <c r="L498" s="49" t="s">
        <v>176</v>
      </c>
      <c r="N498" s="49" t="s">
        <v>254</v>
      </c>
    </row>
    <row r="499" spans="1:14" ht="27.9" customHeight="1" x14ac:dyDescent="0.3">
      <c r="A499" s="31"/>
      <c r="B499" s="30"/>
      <c r="C499" s="31"/>
      <c r="D499" s="31"/>
      <c r="E499" s="30"/>
      <c r="F499" s="31"/>
      <c r="G499" s="31"/>
      <c r="H499" s="30"/>
      <c r="I499" s="31" t="str">
        <f>IF(F499="","",IF(F499="Tecnicatura en composición coreográfica en ddv fusión","Jime",CONCATENATE(VLOOKUP(G499,OPCIONES!D:E,2,0),VLOOKUP(H499,OPCIONES!$G$2:$H$8,2,0))))</f>
        <v/>
      </c>
      <c r="J499" s="49">
        <f t="shared" si="8"/>
        <v>15000</v>
      </c>
      <c r="K499" s="49" t="s">
        <v>91</v>
      </c>
      <c r="L499" s="49" t="s">
        <v>176</v>
      </c>
      <c r="N499" s="49" t="s">
        <v>254</v>
      </c>
    </row>
    <row r="500" spans="1:14" ht="27.9" customHeight="1" x14ac:dyDescent="0.3">
      <c r="A500" s="31"/>
      <c r="B500" s="30"/>
      <c r="C500" s="31"/>
      <c r="D500" s="31"/>
      <c r="E500" s="30"/>
      <c r="F500" s="31"/>
      <c r="G500" s="31"/>
      <c r="H500" s="30"/>
      <c r="I500" s="31" t="str">
        <f>IF(F500="","",IF(F500="Tecnicatura en composición coreográfica en ddv fusión","Jime",CONCATENATE(VLOOKUP(G500,OPCIONES!D:E,2,0),VLOOKUP(H500,OPCIONES!$G$2:$H$8,2,0))))</f>
        <v/>
      </c>
      <c r="J500" s="49">
        <f t="shared" si="8"/>
        <v>15000</v>
      </c>
      <c r="K500" s="49" t="s">
        <v>91</v>
      </c>
      <c r="L500" s="49" t="s">
        <v>176</v>
      </c>
      <c r="N500" s="49" t="s">
        <v>254</v>
      </c>
    </row>
    <row r="501" spans="1:14" ht="27.9" customHeight="1" x14ac:dyDescent="0.3">
      <c r="A501" s="31"/>
      <c r="B501" s="30"/>
      <c r="C501" s="31"/>
      <c r="D501" s="31"/>
      <c r="E501" s="30"/>
      <c r="F501" s="31"/>
      <c r="G501" s="31"/>
      <c r="H501" s="30"/>
      <c r="I501" s="31" t="str">
        <f>IF(F501="","",IF(F501="Tecnicatura en composición coreográfica en ddv fusión","Jime",CONCATENATE(VLOOKUP(G501,OPCIONES!D:E,2,0),VLOOKUP(H501,OPCIONES!$G$2:$H$8,2,0))))</f>
        <v/>
      </c>
      <c r="J501" s="49">
        <f t="shared" si="8"/>
        <v>15000</v>
      </c>
      <c r="K501" s="49" t="s">
        <v>91</v>
      </c>
      <c r="L501" s="49" t="s">
        <v>176</v>
      </c>
      <c r="N501" s="49" t="s">
        <v>254</v>
      </c>
    </row>
    <row r="502" spans="1:14" ht="27.9" customHeight="1" x14ac:dyDescent="0.3">
      <c r="A502" s="31"/>
      <c r="B502" s="30"/>
      <c r="C502" s="31"/>
      <c r="D502" s="31"/>
      <c r="E502" s="30"/>
      <c r="F502" s="31"/>
      <c r="G502" s="31"/>
      <c r="H502" s="30"/>
      <c r="I502" s="31" t="str">
        <f>IF(F502="","",IF(F502="Tecnicatura en composición coreográfica en ddv fusión","Jime",CONCATENATE(VLOOKUP(G502,OPCIONES!D:E,2,0),VLOOKUP(H502,OPCIONES!$G$2:$H$8,2,0))))</f>
        <v/>
      </c>
      <c r="J502" s="49">
        <f t="shared" si="8"/>
        <v>15000</v>
      </c>
      <c r="K502" s="49" t="s">
        <v>91</v>
      </c>
      <c r="L502" s="49" t="s">
        <v>176</v>
      </c>
      <c r="N502" s="49" t="s">
        <v>254</v>
      </c>
    </row>
    <row r="503" spans="1:14" ht="27.9" customHeight="1" x14ac:dyDescent="0.3">
      <c r="A503" s="31"/>
      <c r="B503" s="30"/>
      <c r="C503" s="31"/>
      <c r="D503" s="31"/>
      <c r="E503" s="30"/>
      <c r="F503" s="31"/>
      <c r="G503" s="31"/>
      <c r="H503" s="30"/>
      <c r="I503" s="31" t="str">
        <f>IF(F503="","",IF(F503="Tecnicatura en composición coreográfica en ddv fusión","Jime",CONCATENATE(VLOOKUP(G503,OPCIONES!D:E,2,0),VLOOKUP(H503,OPCIONES!$G$2:$H$8,2,0))))</f>
        <v/>
      </c>
      <c r="J503" s="49">
        <f t="shared" si="8"/>
        <v>15000</v>
      </c>
      <c r="K503" s="49" t="s">
        <v>91</v>
      </c>
      <c r="L503" s="49" t="s">
        <v>176</v>
      </c>
      <c r="N503" s="49" t="s">
        <v>254</v>
      </c>
    </row>
    <row r="504" spans="1:14" ht="27.9" customHeight="1" x14ac:dyDescent="0.3">
      <c r="A504" s="31"/>
      <c r="B504" s="30"/>
      <c r="C504" s="31"/>
      <c r="D504" s="31"/>
      <c r="E504" s="30"/>
      <c r="F504" s="31"/>
      <c r="G504" s="31"/>
      <c r="H504" s="30"/>
      <c r="I504" s="31" t="str">
        <f>IF(F504="","",IF(F504="Tecnicatura en composición coreográfica en ddv fusión","Jime",CONCATENATE(VLOOKUP(G504,OPCIONES!D:E,2,0),VLOOKUP(H504,OPCIONES!$G$2:$H$8,2,0))))</f>
        <v/>
      </c>
      <c r="J504" s="49">
        <f t="shared" si="8"/>
        <v>15000</v>
      </c>
      <c r="K504" s="49" t="s">
        <v>91</v>
      </c>
      <c r="L504" s="49" t="s">
        <v>176</v>
      </c>
      <c r="N504" s="49" t="s">
        <v>254</v>
      </c>
    </row>
    <row r="505" spans="1:14" ht="27.9" customHeight="1" x14ac:dyDescent="0.3">
      <c r="A505" s="31"/>
      <c r="B505" s="30"/>
      <c r="C505" s="31"/>
      <c r="D505" s="31"/>
      <c r="E505" s="30"/>
      <c r="F505" s="31"/>
      <c r="G505" s="31"/>
      <c r="H505" s="30"/>
      <c r="I505" s="31" t="str">
        <f>IF(F505="","",IF(F505="Tecnicatura en composición coreográfica en ddv fusión","Jime",CONCATENATE(VLOOKUP(G505,OPCIONES!D:E,2,0),VLOOKUP(H505,OPCIONES!$G$2:$H$8,2,0))))</f>
        <v/>
      </c>
      <c r="J505" s="49">
        <f t="shared" si="8"/>
        <v>15000</v>
      </c>
      <c r="K505" s="49" t="s">
        <v>91</v>
      </c>
      <c r="L505" s="49" t="s">
        <v>176</v>
      </c>
      <c r="N505" s="49" t="s">
        <v>254</v>
      </c>
    </row>
    <row r="506" spans="1:14" ht="27.9" customHeight="1" x14ac:dyDescent="0.3">
      <c r="A506" s="31"/>
      <c r="B506" s="30"/>
      <c r="C506" s="31"/>
      <c r="D506" s="31"/>
      <c r="E506" s="30"/>
      <c r="F506" s="31"/>
      <c r="G506" s="31"/>
      <c r="H506" s="30"/>
      <c r="I506" s="31" t="str">
        <f>IF(F506="","",IF(F506="Tecnicatura en composición coreográfica en ddv fusión","Jime",CONCATENATE(VLOOKUP(G506,OPCIONES!D:E,2,0),VLOOKUP(H506,OPCIONES!$G$2:$H$8,2,0))))</f>
        <v/>
      </c>
      <c r="J506" s="49">
        <f t="shared" si="8"/>
        <v>15000</v>
      </c>
      <c r="K506" s="49" t="s">
        <v>91</v>
      </c>
      <c r="L506" s="49" t="s">
        <v>176</v>
      </c>
      <c r="N506" s="49" t="s">
        <v>254</v>
      </c>
    </row>
    <row r="507" spans="1:14" ht="27.9" customHeight="1" x14ac:dyDescent="0.3">
      <c r="A507" s="31"/>
      <c r="B507" s="30"/>
      <c r="C507" s="31"/>
      <c r="D507" s="31"/>
      <c r="E507" s="30"/>
      <c r="F507" s="31"/>
      <c r="G507" s="31"/>
      <c r="H507" s="30"/>
      <c r="I507" s="31" t="str">
        <f>IF(F507="","",IF(F507="Tecnicatura en composición coreográfica en ddv fusión","Jime",CONCATENATE(VLOOKUP(G507,OPCIONES!D:E,2,0),VLOOKUP(H507,OPCIONES!$G$2:$H$8,2,0))))</f>
        <v/>
      </c>
      <c r="J507" s="49">
        <f t="shared" si="8"/>
        <v>15000</v>
      </c>
      <c r="K507" s="49" t="s">
        <v>91</v>
      </c>
      <c r="L507" s="49" t="s">
        <v>176</v>
      </c>
      <c r="N507" s="49" t="s">
        <v>254</v>
      </c>
    </row>
    <row r="508" spans="1:14" ht="27.9" customHeight="1" x14ac:dyDescent="0.3">
      <c r="A508" s="31"/>
      <c r="B508" s="30"/>
      <c r="C508" s="31"/>
      <c r="D508" s="31"/>
      <c r="E508" s="30"/>
      <c r="F508" s="31"/>
      <c r="G508" s="31"/>
      <c r="H508" s="30"/>
      <c r="I508" s="31" t="str">
        <f>IF(F508="","",IF(F508="Tecnicatura en composición coreográfica en ddv fusión","Jime",CONCATENATE(VLOOKUP(G508,OPCIONES!D:E,2,0),VLOOKUP(H508,OPCIONES!$G$2:$H$8,2,0))))</f>
        <v/>
      </c>
      <c r="J508" s="49">
        <f t="shared" si="8"/>
        <v>15000</v>
      </c>
      <c r="K508" s="49" t="s">
        <v>91</v>
      </c>
      <c r="L508" s="49" t="s">
        <v>176</v>
      </c>
      <c r="N508" s="49" t="s">
        <v>254</v>
      </c>
    </row>
    <row r="509" spans="1:14" ht="27.9" customHeight="1" x14ac:dyDescent="0.3">
      <c r="A509" s="31"/>
      <c r="B509" s="30"/>
      <c r="C509" s="31"/>
      <c r="D509" s="31"/>
      <c r="E509" s="30"/>
      <c r="F509" s="31"/>
      <c r="G509" s="31"/>
      <c r="H509" s="30"/>
      <c r="I509" s="31" t="str">
        <f>IF(F509="","",IF(F509="Tecnicatura en composición coreográfica en ddv fusión","Jime",CONCATENATE(VLOOKUP(G509,OPCIONES!D:E,2,0),VLOOKUP(H509,OPCIONES!$G$2:$H$8,2,0))))</f>
        <v/>
      </c>
      <c r="J509" s="49">
        <f t="shared" si="8"/>
        <v>15000</v>
      </c>
      <c r="K509" s="49" t="s">
        <v>91</v>
      </c>
      <c r="L509" s="49" t="s">
        <v>176</v>
      </c>
      <c r="N509" s="49" t="s">
        <v>254</v>
      </c>
    </row>
    <row r="510" spans="1:14" ht="27.9" customHeight="1" x14ac:dyDescent="0.3">
      <c r="A510" s="31"/>
      <c r="B510" s="30"/>
      <c r="C510" s="31"/>
      <c r="D510" s="31"/>
      <c r="E510" s="30"/>
      <c r="F510" s="31"/>
      <c r="G510" s="31"/>
      <c r="H510" s="30"/>
      <c r="I510" s="31" t="str">
        <f>IF(F510="","",IF(F510="Tecnicatura en composición coreográfica en ddv fusión","Jime",CONCATENATE(VLOOKUP(G510,OPCIONES!D:E,2,0),VLOOKUP(H510,OPCIONES!$G$2:$H$8,2,0))))</f>
        <v/>
      </c>
      <c r="J510" s="49">
        <f t="shared" si="8"/>
        <v>15000</v>
      </c>
      <c r="K510" s="49" t="s">
        <v>91</v>
      </c>
      <c r="L510" s="49" t="s">
        <v>176</v>
      </c>
      <c r="N510" s="49" t="s">
        <v>254</v>
      </c>
    </row>
    <row r="511" spans="1:14" ht="27.9" customHeight="1" x14ac:dyDescent="0.3">
      <c r="A511" s="31"/>
      <c r="B511" s="30"/>
      <c r="C511" s="31"/>
      <c r="D511" s="31"/>
      <c r="E511" s="30"/>
      <c r="F511" s="31"/>
      <c r="G511" s="31"/>
      <c r="H511" s="30"/>
      <c r="I511" s="31" t="str">
        <f>IF(F511="","",IF(F511="Tecnicatura en composición coreográfica en ddv fusión","Jime",CONCATENATE(VLOOKUP(G511,OPCIONES!D:E,2,0),VLOOKUP(H511,OPCIONES!$G$2:$H$8,2,0))))</f>
        <v/>
      </c>
      <c r="J511" s="49">
        <f t="shared" si="8"/>
        <v>15000</v>
      </c>
      <c r="K511" s="49" t="s">
        <v>91</v>
      </c>
      <c r="L511" s="49" t="s">
        <v>176</v>
      </c>
      <c r="N511" s="49" t="s">
        <v>254</v>
      </c>
    </row>
    <row r="512" spans="1:14" ht="27.9" customHeight="1" x14ac:dyDescent="0.3">
      <c r="A512" s="31"/>
      <c r="B512" s="30"/>
      <c r="C512" s="31"/>
      <c r="D512" s="31"/>
      <c r="E512" s="30"/>
      <c r="F512" s="31"/>
      <c r="G512" s="31"/>
      <c r="H512" s="30"/>
      <c r="I512" s="31" t="str">
        <f>IF(F512="","",IF(F512="Tecnicatura en composición coreográfica en ddv fusión","Jime",CONCATENATE(VLOOKUP(G512,OPCIONES!D:E,2,0),VLOOKUP(H512,OPCIONES!$G$2:$H$8,2,0))))</f>
        <v/>
      </c>
      <c r="J512" s="49">
        <f t="shared" si="8"/>
        <v>15000</v>
      </c>
      <c r="K512" s="49" t="s">
        <v>91</v>
      </c>
      <c r="L512" s="49" t="s">
        <v>176</v>
      </c>
      <c r="N512" s="49" t="s">
        <v>254</v>
      </c>
    </row>
    <row r="513" spans="1:14" ht="27.9" customHeight="1" x14ac:dyDescent="0.3">
      <c r="A513" s="31"/>
      <c r="B513" s="30"/>
      <c r="C513" s="31"/>
      <c r="D513" s="31"/>
      <c r="E513" s="30"/>
      <c r="F513" s="31"/>
      <c r="G513" s="31"/>
      <c r="H513" s="30"/>
      <c r="I513" s="31" t="str">
        <f>IF(F513="","",IF(F513="Tecnicatura en composición coreográfica en ddv fusión","Jime",CONCATENATE(VLOOKUP(G513,OPCIONES!D:E,2,0),VLOOKUP(H513,OPCIONES!$G$2:$H$8,2,0))))</f>
        <v/>
      </c>
      <c r="J513" s="49">
        <f t="shared" si="8"/>
        <v>15000</v>
      </c>
      <c r="K513" s="49" t="s">
        <v>91</v>
      </c>
      <c r="L513" s="49" t="s">
        <v>176</v>
      </c>
      <c r="N513" s="49" t="s">
        <v>254</v>
      </c>
    </row>
    <row r="514" spans="1:14" ht="27.9" customHeight="1" x14ac:dyDescent="0.3">
      <c r="A514" s="31"/>
      <c r="B514" s="30"/>
      <c r="C514" s="31"/>
      <c r="D514" s="31"/>
      <c r="E514" s="30"/>
      <c r="F514" s="31"/>
      <c r="G514" s="31"/>
      <c r="H514" s="30"/>
      <c r="I514" s="31" t="str">
        <f>IF(F514="","",IF(F514="Tecnicatura en composición coreográfica en ddv fusión","Jime",CONCATENATE(VLOOKUP(G514,OPCIONES!D:E,2,0),VLOOKUP(H514,OPCIONES!$G$2:$H$8,2,0))))</f>
        <v/>
      </c>
      <c r="J514" s="49">
        <f t="shared" si="8"/>
        <v>15000</v>
      </c>
      <c r="K514" s="49" t="s">
        <v>91</v>
      </c>
      <c r="L514" s="49" t="s">
        <v>176</v>
      </c>
      <c r="N514" s="49" t="s">
        <v>254</v>
      </c>
    </row>
    <row r="515" spans="1:14" ht="27.9" customHeight="1" x14ac:dyDescent="0.3">
      <c r="A515" s="31"/>
      <c r="B515" s="30"/>
      <c r="C515" s="31"/>
      <c r="D515" s="31"/>
      <c r="E515" s="30"/>
      <c r="F515" s="31"/>
      <c r="G515" s="31"/>
      <c r="H515" s="30"/>
      <c r="I515" s="31" t="str">
        <f>IF(F515="","",IF(F515="Tecnicatura en composición coreográfica en ddv fusión","Jime",CONCATENATE(VLOOKUP(G515,OPCIONES!D:E,2,0),VLOOKUP(H515,OPCIONES!$G$2:$H$8,2,0))))</f>
        <v/>
      </c>
      <c r="J515" s="49">
        <f t="shared" si="8"/>
        <v>15000</v>
      </c>
      <c r="K515" s="49" t="s">
        <v>91</v>
      </c>
      <c r="L515" s="49" t="s">
        <v>176</v>
      </c>
      <c r="N515" s="49" t="s">
        <v>254</v>
      </c>
    </row>
    <row r="516" spans="1:14" ht="27.9" customHeight="1" x14ac:dyDescent="0.3">
      <c r="A516" s="31"/>
      <c r="B516" s="30"/>
      <c r="C516" s="31"/>
      <c r="D516" s="31"/>
      <c r="E516" s="30"/>
      <c r="F516" s="31"/>
      <c r="G516" s="31"/>
      <c r="H516" s="30"/>
      <c r="I516" s="31" t="str">
        <f>IF(F516="","",IF(F516="Tecnicatura en composición coreográfica en ddv fusión","Jime",CONCATENATE(VLOOKUP(G516,OPCIONES!D:E,2,0),VLOOKUP(H516,OPCIONES!$G$2:$H$8,2,0))))</f>
        <v/>
      </c>
      <c r="J516" s="49">
        <f t="shared" si="8"/>
        <v>15000</v>
      </c>
      <c r="K516" s="49" t="s">
        <v>91</v>
      </c>
      <c r="L516" s="49" t="s">
        <v>176</v>
      </c>
      <c r="N516" s="49" t="s">
        <v>254</v>
      </c>
    </row>
    <row r="517" spans="1:14" ht="27.9" customHeight="1" x14ac:dyDescent="0.3">
      <c r="A517" s="31"/>
      <c r="B517" s="30"/>
      <c r="C517" s="31"/>
      <c r="D517" s="31"/>
      <c r="E517" s="30"/>
      <c r="F517" s="31"/>
      <c r="G517" s="31"/>
      <c r="H517" s="30"/>
      <c r="I517" s="31" t="str">
        <f>IF(F517="","",IF(F517="Tecnicatura en composición coreográfica en ddv fusión","Jime",CONCATENATE(VLOOKUP(G517,OPCIONES!D:E,2,0),VLOOKUP(H517,OPCIONES!$G$2:$H$8,2,0))))</f>
        <v/>
      </c>
      <c r="J517" s="49">
        <f t="shared" si="8"/>
        <v>15000</v>
      </c>
      <c r="K517" s="49" t="s">
        <v>91</v>
      </c>
      <c r="L517" s="49" t="s">
        <v>176</v>
      </c>
      <c r="N517" s="49" t="s">
        <v>254</v>
      </c>
    </row>
    <row r="518" spans="1:14" ht="27.9" customHeight="1" x14ac:dyDescent="0.3">
      <c r="A518" s="31"/>
      <c r="B518" s="30"/>
      <c r="C518" s="31"/>
      <c r="D518" s="31"/>
      <c r="E518" s="30"/>
      <c r="F518" s="31"/>
      <c r="G518" s="31"/>
      <c r="H518" s="30"/>
      <c r="I518" s="31" t="str">
        <f>IF(F518="","",IF(F518="Tecnicatura en composición coreográfica en ddv fusión","Jime",CONCATENATE(VLOOKUP(G518,OPCIONES!D:E,2,0),VLOOKUP(H518,OPCIONES!$G$2:$H$8,2,0))))</f>
        <v/>
      </c>
      <c r="J518" s="49">
        <f t="shared" ref="J518:J553" si="9">$I$1</f>
        <v>15000</v>
      </c>
      <c r="K518" s="49" t="s">
        <v>91</v>
      </c>
      <c r="L518" s="49" t="s">
        <v>176</v>
      </c>
      <c r="N518" s="49" t="s">
        <v>254</v>
      </c>
    </row>
    <row r="519" spans="1:14" ht="27.9" customHeight="1" x14ac:dyDescent="0.3">
      <c r="A519" s="31"/>
      <c r="B519" s="30"/>
      <c r="C519" s="31"/>
      <c r="D519" s="31"/>
      <c r="E519" s="30"/>
      <c r="F519" s="31"/>
      <c r="G519" s="31"/>
      <c r="H519" s="30"/>
      <c r="I519" s="31" t="str">
        <f>IF(F519="","",IF(F519="Tecnicatura en composición coreográfica en ddv fusión","Jime",CONCATENATE(VLOOKUP(G519,OPCIONES!D:E,2,0),VLOOKUP(H519,OPCIONES!$G$2:$H$8,2,0))))</f>
        <v/>
      </c>
      <c r="J519" s="49">
        <f t="shared" si="9"/>
        <v>15000</v>
      </c>
      <c r="K519" s="49" t="s">
        <v>91</v>
      </c>
      <c r="L519" s="49" t="s">
        <v>176</v>
      </c>
      <c r="N519" s="49" t="s">
        <v>254</v>
      </c>
    </row>
    <row r="520" spans="1:14" ht="27.9" customHeight="1" x14ac:dyDescent="0.3">
      <c r="A520" s="31"/>
      <c r="B520" s="30"/>
      <c r="C520" s="31"/>
      <c r="D520" s="31"/>
      <c r="E520" s="30"/>
      <c r="F520" s="31"/>
      <c r="G520" s="31"/>
      <c r="H520" s="30"/>
      <c r="I520" s="31" t="str">
        <f>IF(F520="","",IF(F520="Tecnicatura en composición coreográfica en ddv fusión","Jime",CONCATENATE(VLOOKUP(G520,OPCIONES!D:E,2,0),VLOOKUP(H520,OPCIONES!$G$2:$H$8,2,0))))</f>
        <v/>
      </c>
      <c r="J520" s="49">
        <f t="shared" si="9"/>
        <v>15000</v>
      </c>
      <c r="K520" s="49" t="s">
        <v>91</v>
      </c>
      <c r="L520" s="49" t="s">
        <v>176</v>
      </c>
      <c r="N520" s="49" t="s">
        <v>254</v>
      </c>
    </row>
    <row r="521" spans="1:14" ht="27.9" customHeight="1" x14ac:dyDescent="0.3">
      <c r="A521" s="31"/>
      <c r="B521" s="30"/>
      <c r="C521" s="31"/>
      <c r="D521" s="31"/>
      <c r="E521" s="30"/>
      <c r="F521" s="31"/>
      <c r="G521" s="31"/>
      <c r="H521" s="30"/>
      <c r="I521" s="31" t="str">
        <f>IF(F521="","",IF(F521="Tecnicatura en composición coreográfica en ddv fusión","Jime",CONCATENATE(VLOOKUP(G521,OPCIONES!D:E,2,0),VLOOKUP(H521,OPCIONES!$G$2:$H$8,2,0))))</f>
        <v/>
      </c>
      <c r="J521" s="49">
        <f t="shared" si="9"/>
        <v>15000</v>
      </c>
      <c r="K521" s="49" t="s">
        <v>91</v>
      </c>
      <c r="L521" s="49" t="s">
        <v>176</v>
      </c>
      <c r="N521" s="49" t="s">
        <v>254</v>
      </c>
    </row>
    <row r="522" spans="1:14" ht="27.9" customHeight="1" x14ac:dyDescent="0.3">
      <c r="A522" s="31"/>
      <c r="B522" s="30"/>
      <c r="C522" s="31"/>
      <c r="D522" s="31"/>
      <c r="E522" s="30"/>
      <c r="F522" s="31"/>
      <c r="G522" s="31"/>
      <c r="H522" s="30"/>
      <c r="I522" s="31" t="str">
        <f>IF(F522="","",IF(F522="Tecnicatura en composición coreográfica en ddv fusión","Jime",CONCATENATE(VLOOKUP(G522,OPCIONES!D:E,2,0),VLOOKUP(H522,OPCIONES!$G$2:$H$8,2,0))))</f>
        <v/>
      </c>
      <c r="J522" s="49">
        <f t="shared" si="9"/>
        <v>15000</v>
      </c>
      <c r="K522" s="49" t="s">
        <v>91</v>
      </c>
      <c r="L522" s="49" t="s">
        <v>176</v>
      </c>
      <c r="N522" s="49" t="s">
        <v>254</v>
      </c>
    </row>
    <row r="523" spans="1:14" ht="27.9" customHeight="1" x14ac:dyDescent="0.3">
      <c r="A523" s="31"/>
      <c r="B523" s="30"/>
      <c r="C523" s="31"/>
      <c r="D523" s="31"/>
      <c r="E523" s="30"/>
      <c r="F523" s="31"/>
      <c r="G523" s="31"/>
      <c r="H523" s="30"/>
      <c r="I523" s="31" t="str">
        <f>IF(F523="","",IF(F523="Tecnicatura en composición coreográfica en ddv fusión","Jime",CONCATENATE(VLOOKUP(G523,OPCIONES!D:E,2,0),VLOOKUP(H523,OPCIONES!$G$2:$H$8,2,0))))</f>
        <v/>
      </c>
      <c r="J523" s="49">
        <f t="shared" si="9"/>
        <v>15000</v>
      </c>
      <c r="K523" s="49" t="s">
        <v>91</v>
      </c>
      <c r="L523" s="49" t="s">
        <v>176</v>
      </c>
      <c r="N523" s="49" t="s">
        <v>254</v>
      </c>
    </row>
    <row r="524" spans="1:14" ht="27.9" customHeight="1" x14ac:dyDescent="0.3">
      <c r="A524" s="31"/>
      <c r="B524" s="30"/>
      <c r="C524" s="31"/>
      <c r="D524" s="31"/>
      <c r="E524" s="30"/>
      <c r="F524" s="31"/>
      <c r="G524" s="31"/>
      <c r="H524" s="30"/>
      <c r="I524" s="31" t="str">
        <f>IF(F524="","",IF(F524="Tecnicatura en composición coreográfica en ddv fusión","Jime",CONCATENATE(VLOOKUP(G524,OPCIONES!D:E,2,0),VLOOKUP(H524,OPCIONES!$G$2:$H$8,2,0))))</f>
        <v/>
      </c>
      <c r="J524" s="49">
        <f t="shared" si="9"/>
        <v>15000</v>
      </c>
      <c r="K524" s="49" t="s">
        <v>91</v>
      </c>
      <c r="L524" s="49" t="s">
        <v>176</v>
      </c>
      <c r="N524" s="49" t="s">
        <v>254</v>
      </c>
    </row>
    <row r="525" spans="1:14" ht="27.9" customHeight="1" x14ac:dyDescent="0.3">
      <c r="A525" s="31"/>
      <c r="B525" s="30"/>
      <c r="C525" s="31"/>
      <c r="D525" s="31"/>
      <c r="E525" s="30"/>
      <c r="F525" s="31"/>
      <c r="G525" s="31"/>
      <c r="H525" s="30"/>
      <c r="I525" s="31" t="str">
        <f>IF(F525="","",IF(F525="Tecnicatura en composición coreográfica en ddv fusión","Jime",CONCATENATE(VLOOKUP(G525,OPCIONES!D:E,2,0),VLOOKUP(H525,OPCIONES!$G$2:$H$8,2,0))))</f>
        <v/>
      </c>
      <c r="J525" s="49">
        <f t="shared" si="9"/>
        <v>15000</v>
      </c>
      <c r="K525" s="49" t="s">
        <v>91</v>
      </c>
      <c r="L525" s="49" t="s">
        <v>176</v>
      </c>
      <c r="N525" s="49" t="s">
        <v>254</v>
      </c>
    </row>
    <row r="526" spans="1:14" ht="27.9" customHeight="1" x14ac:dyDescent="0.3">
      <c r="A526" s="31"/>
      <c r="B526" s="30"/>
      <c r="C526" s="31"/>
      <c r="D526" s="31"/>
      <c r="E526" s="30"/>
      <c r="F526" s="31"/>
      <c r="G526" s="31"/>
      <c r="H526" s="30"/>
      <c r="I526" s="31" t="str">
        <f>IF(F526="","",IF(F526="Tecnicatura en composición coreográfica en ddv fusión","Jime",CONCATENATE(VLOOKUP(G526,OPCIONES!D:E,2,0),VLOOKUP(H526,OPCIONES!$G$2:$H$8,2,0))))</f>
        <v/>
      </c>
      <c r="J526" s="49">
        <f t="shared" si="9"/>
        <v>15000</v>
      </c>
      <c r="K526" s="49" t="s">
        <v>91</v>
      </c>
      <c r="L526" s="49" t="s">
        <v>176</v>
      </c>
      <c r="N526" s="49" t="s">
        <v>254</v>
      </c>
    </row>
    <row r="527" spans="1:14" ht="27.9" customHeight="1" x14ac:dyDescent="0.3">
      <c r="A527" s="31"/>
      <c r="B527" s="30"/>
      <c r="C527" s="31"/>
      <c r="D527" s="31"/>
      <c r="E527" s="30"/>
      <c r="F527" s="31"/>
      <c r="G527" s="31"/>
      <c r="H527" s="30"/>
      <c r="I527" s="31" t="str">
        <f>IF(F527="","",IF(F527="Tecnicatura en composición coreográfica en ddv fusión","Jime",CONCATENATE(VLOOKUP(G527,OPCIONES!D:E,2,0),VLOOKUP(H527,OPCIONES!$G$2:$H$8,2,0))))</f>
        <v/>
      </c>
      <c r="J527" s="49">
        <f t="shared" si="9"/>
        <v>15000</v>
      </c>
      <c r="K527" s="49" t="s">
        <v>91</v>
      </c>
      <c r="L527" s="49" t="s">
        <v>176</v>
      </c>
      <c r="N527" s="49" t="s">
        <v>254</v>
      </c>
    </row>
    <row r="528" spans="1:14" ht="27.9" customHeight="1" x14ac:dyDescent="0.3">
      <c r="A528" s="31"/>
      <c r="B528" s="30"/>
      <c r="C528" s="31"/>
      <c r="D528" s="31"/>
      <c r="E528" s="30"/>
      <c r="F528" s="31"/>
      <c r="G528" s="31"/>
      <c r="H528" s="30"/>
      <c r="I528" s="31" t="str">
        <f>IF(F528="","",IF(F528="Tecnicatura en composición coreográfica en ddv fusión","Jime",CONCATENATE(VLOOKUP(G528,OPCIONES!D:E,2,0),VLOOKUP(H528,OPCIONES!$G$2:$H$8,2,0))))</f>
        <v/>
      </c>
      <c r="J528" s="49">
        <f t="shared" si="9"/>
        <v>15000</v>
      </c>
      <c r="K528" s="49" t="s">
        <v>91</v>
      </c>
      <c r="L528" s="49" t="s">
        <v>176</v>
      </c>
      <c r="N528" s="49" t="s">
        <v>254</v>
      </c>
    </row>
    <row r="529" spans="1:14" ht="27.9" customHeight="1" x14ac:dyDescent="0.3">
      <c r="A529" s="31"/>
      <c r="B529" s="30"/>
      <c r="C529" s="31"/>
      <c r="D529" s="31"/>
      <c r="E529" s="30"/>
      <c r="F529" s="31"/>
      <c r="G529" s="31"/>
      <c r="H529" s="30"/>
      <c r="I529" s="31" t="str">
        <f>IF(F529="","",IF(F529="Tecnicatura en composición coreográfica en ddv fusión","Jime",CONCATENATE(VLOOKUP(G529,OPCIONES!D:E,2,0),VLOOKUP(H529,OPCIONES!$G$2:$H$8,2,0))))</f>
        <v/>
      </c>
      <c r="J529" s="49">
        <f t="shared" si="9"/>
        <v>15000</v>
      </c>
      <c r="K529" s="49" t="s">
        <v>91</v>
      </c>
      <c r="L529" s="49" t="s">
        <v>176</v>
      </c>
      <c r="N529" s="49" t="s">
        <v>254</v>
      </c>
    </row>
    <row r="530" spans="1:14" ht="27.9" customHeight="1" x14ac:dyDescent="0.3">
      <c r="A530" s="31"/>
      <c r="B530" s="30"/>
      <c r="C530" s="31"/>
      <c r="D530" s="31"/>
      <c r="E530" s="30"/>
      <c r="F530" s="31"/>
      <c r="G530" s="31"/>
      <c r="H530" s="30"/>
      <c r="I530" s="31" t="str">
        <f>IF(F530="","",IF(F530="Tecnicatura en composición coreográfica en ddv fusión","Jime",CONCATENATE(VLOOKUP(G530,OPCIONES!D:E,2,0),VLOOKUP(H530,OPCIONES!$G$2:$H$8,2,0))))</f>
        <v/>
      </c>
      <c r="J530" s="49">
        <f t="shared" si="9"/>
        <v>15000</v>
      </c>
      <c r="K530" s="49" t="s">
        <v>91</v>
      </c>
      <c r="L530" s="49" t="s">
        <v>176</v>
      </c>
      <c r="N530" s="49" t="s">
        <v>254</v>
      </c>
    </row>
    <row r="531" spans="1:14" ht="27.9" customHeight="1" x14ac:dyDescent="0.3">
      <c r="A531" s="31"/>
      <c r="B531" s="30"/>
      <c r="C531" s="31"/>
      <c r="D531" s="31"/>
      <c r="E531" s="30"/>
      <c r="F531" s="31"/>
      <c r="G531" s="31"/>
      <c r="H531" s="30"/>
      <c r="I531" s="31" t="str">
        <f>IF(F531="","",IF(F531="Tecnicatura en composición coreográfica en ddv fusión","Jime",CONCATENATE(VLOOKUP(G531,OPCIONES!D:E,2,0),VLOOKUP(H531,OPCIONES!$G$2:$H$8,2,0))))</f>
        <v/>
      </c>
      <c r="J531" s="49">
        <f t="shared" si="9"/>
        <v>15000</v>
      </c>
      <c r="K531" s="49" t="s">
        <v>91</v>
      </c>
      <c r="L531" s="49" t="s">
        <v>176</v>
      </c>
      <c r="N531" s="49" t="s">
        <v>254</v>
      </c>
    </row>
    <row r="532" spans="1:14" ht="27.9" customHeight="1" x14ac:dyDescent="0.3">
      <c r="A532" s="31"/>
      <c r="B532" s="30"/>
      <c r="C532" s="31"/>
      <c r="D532" s="31"/>
      <c r="E532" s="30"/>
      <c r="F532" s="31"/>
      <c r="G532" s="31"/>
      <c r="H532" s="30"/>
      <c r="I532" s="31" t="str">
        <f>IF(F532="","",IF(F532="Tecnicatura en composición coreográfica en ddv fusión","Jime",CONCATENATE(VLOOKUP(G532,OPCIONES!D:E,2,0),VLOOKUP(H532,OPCIONES!$G$2:$H$8,2,0))))</f>
        <v/>
      </c>
      <c r="J532" s="49">
        <f t="shared" si="9"/>
        <v>15000</v>
      </c>
      <c r="K532" s="49" t="s">
        <v>91</v>
      </c>
      <c r="L532" s="49" t="s">
        <v>176</v>
      </c>
      <c r="N532" s="49" t="s">
        <v>254</v>
      </c>
    </row>
    <row r="533" spans="1:14" ht="27.9" customHeight="1" x14ac:dyDescent="0.3">
      <c r="A533" s="31"/>
      <c r="B533" s="30"/>
      <c r="C533" s="31"/>
      <c r="D533" s="31"/>
      <c r="E533" s="30"/>
      <c r="F533" s="31"/>
      <c r="G533" s="31"/>
      <c r="H533" s="30"/>
      <c r="I533" s="31" t="str">
        <f>IF(F533="","",IF(F533="Tecnicatura en composición coreográfica en ddv fusión","Jime",CONCATENATE(VLOOKUP(G533,OPCIONES!D:E,2,0),VLOOKUP(H533,OPCIONES!$G$2:$H$8,2,0))))</f>
        <v/>
      </c>
      <c r="J533" s="49">
        <f t="shared" si="9"/>
        <v>15000</v>
      </c>
      <c r="K533" s="49" t="s">
        <v>91</v>
      </c>
      <c r="L533" s="49" t="s">
        <v>176</v>
      </c>
      <c r="N533" s="49" t="s">
        <v>254</v>
      </c>
    </row>
    <row r="534" spans="1:14" ht="27.9" customHeight="1" x14ac:dyDescent="0.3">
      <c r="A534" s="31"/>
      <c r="B534" s="30"/>
      <c r="C534" s="31"/>
      <c r="D534" s="31"/>
      <c r="E534" s="30"/>
      <c r="F534" s="31"/>
      <c r="G534" s="31"/>
      <c r="H534" s="30"/>
      <c r="I534" s="31" t="str">
        <f>IF(F534="","",IF(F534="Tecnicatura en composición coreográfica en ddv fusión","Jime",CONCATENATE(VLOOKUP(G534,OPCIONES!D:E,2,0),VLOOKUP(H534,OPCIONES!$G$2:$H$8,2,0))))</f>
        <v/>
      </c>
      <c r="J534" s="49">
        <f t="shared" si="9"/>
        <v>15000</v>
      </c>
      <c r="K534" s="49" t="s">
        <v>91</v>
      </c>
      <c r="L534" s="49" t="s">
        <v>176</v>
      </c>
      <c r="N534" s="49" t="s">
        <v>254</v>
      </c>
    </row>
    <row r="535" spans="1:14" ht="27.9" customHeight="1" x14ac:dyDescent="0.3">
      <c r="A535" s="31"/>
      <c r="B535" s="30"/>
      <c r="C535" s="31"/>
      <c r="D535" s="31"/>
      <c r="E535" s="30"/>
      <c r="F535" s="31"/>
      <c r="G535" s="31"/>
      <c r="H535" s="30"/>
      <c r="I535" s="31" t="str">
        <f>IF(F535="","",IF(F535="Tecnicatura en composición coreográfica en ddv fusión","Jime",CONCATENATE(VLOOKUP(G535,OPCIONES!D:E,2,0),VLOOKUP(H535,OPCIONES!$G$2:$H$8,2,0))))</f>
        <v/>
      </c>
      <c r="J535" s="49">
        <f t="shared" si="9"/>
        <v>15000</v>
      </c>
      <c r="K535" s="49" t="s">
        <v>91</v>
      </c>
      <c r="L535" s="49" t="s">
        <v>176</v>
      </c>
      <c r="N535" s="49" t="s">
        <v>254</v>
      </c>
    </row>
    <row r="536" spans="1:14" ht="27.9" customHeight="1" x14ac:dyDescent="0.3">
      <c r="A536" s="31"/>
      <c r="B536" s="30"/>
      <c r="C536" s="31"/>
      <c r="D536" s="31"/>
      <c r="E536" s="30"/>
      <c r="F536" s="31"/>
      <c r="G536" s="31"/>
      <c r="H536" s="30"/>
      <c r="I536" s="31" t="str">
        <f>IF(F536="","",IF(F536="Tecnicatura en composición coreográfica en ddv fusión","Jime",CONCATENATE(VLOOKUP(G536,OPCIONES!D:E,2,0),VLOOKUP(H536,OPCIONES!$G$2:$H$8,2,0))))</f>
        <v/>
      </c>
      <c r="J536" s="49">
        <f t="shared" si="9"/>
        <v>15000</v>
      </c>
      <c r="K536" s="49" t="s">
        <v>91</v>
      </c>
      <c r="L536" s="49" t="s">
        <v>176</v>
      </c>
      <c r="N536" s="49" t="s">
        <v>254</v>
      </c>
    </row>
    <row r="537" spans="1:14" ht="27.9" customHeight="1" x14ac:dyDescent="0.3">
      <c r="A537" s="31"/>
      <c r="B537" s="30"/>
      <c r="C537" s="31"/>
      <c r="D537" s="31"/>
      <c r="E537" s="30"/>
      <c r="F537" s="31"/>
      <c r="G537" s="31"/>
      <c r="H537" s="30"/>
      <c r="I537" s="31" t="str">
        <f>IF(F537="","",IF(F537="Tecnicatura en composición coreográfica en ddv fusión","Jime",CONCATENATE(VLOOKUP(G537,OPCIONES!D:E,2,0),VLOOKUP(H537,OPCIONES!$G$2:$H$8,2,0))))</f>
        <v/>
      </c>
      <c r="J537" s="49">
        <f t="shared" si="9"/>
        <v>15000</v>
      </c>
      <c r="K537" s="49" t="s">
        <v>91</v>
      </c>
      <c r="L537" s="49" t="s">
        <v>176</v>
      </c>
      <c r="N537" s="49" t="s">
        <v>254</v>
      </c>
    </row>
    <row r="538" spans="1:14" ht="27.9" customHeight="1" x14ac:dyDescent="0.3">
      <c r="A538" s="31"/>
      <c r="B538" s="30"/>
      <c r="C538" s="31"/>
      <c r="D538" s="31"/>
      <c r="E538" s="30"/>
      <c r="F538" s="31"/>
      <c r="G538" s="31"/>
      <c r="H538" s="30"/>
      <c r="I538" s="31" t="str">
        <f>IF(F538="","",IF(F538="Tecnicatura en composición coreográfica en ddv fusión","Jime",CONCATENATE(VLOOKUP(G538,OPCIONES!D:E,2,0),VLOOKUP(H538,OPCIONES!$G$2:$H$8,2,0))))</f>
        <v/>
      </c>
      <c r="J538" s="49">
        <f t="shared" si="9"/>
        <v>15000</v>
      </c>
      <c r="K538" s="49" t="s">
        <v>91</v>
      </c>
      <c r="L538" s="49" t="s">
        <v>176</v>
      </c>
      <c r="N538" s="49" t="s">
        <v>254</v>
      </c>
    </row>
    <row r="539" spans="1:14" ht="27.9" customHeight="1" x14ac:dyDescent="0.3">
      <c r="A539" s="31"/>
      <c r="B539" s="30"/>
      <c r="C539" s="31"/>
      <c r="D539" s="31"/>
      <c r="E539" s="30"/>
      <c r="F539" s="31"/>
      <c r="G539" s="31"/>
      <c r="H539" s="30"/>
      <c r="I539" s="31" t="str">
        <f>IF(F539="","",IF(F539="Tecnicatura en composición coreográfica en ddv fusión","Jime",CONCATENATE(VLOOKUP(G539,OPCIONES!D:E,2,0),VLOOKUP(H539,OPCIONES!$G$2:$H$8,2,0))))</f>
        <v/>
      </c>
      <c r="J539" s="49">
        <f t="shared" si="9"/>
        <v>15000</v>
      </c>
      <c r="K539" s="49" t="s">
        <v>91</v>
      </c>
      <c r="L539" s="49" t="s">
        <v>176</v>
      </c>
      <c r="N539" s="49" t="s">
        <v>254</v>
      </c>
    </row>
    <row r="540" spans="1:14" ht="27.9" customHeight="1" x14ac:dyDescent="0.3">
      <c r="A540" s="31"/>
      <c r="B540" s="30"/>
      <c r="C540" s="31"/>
      <c r="D540" s="31"/>
      <c r="E540" s="30"/>
      <c r="F540" s="31"/>
      <c r="G540" s="31"/>
      <c r="H540" s="30"/>
      <c r="I540" s="31" t="str">
        <f>IF(F540="","",IF(F540="Tecnicatura en composición coreográfica en ddv fusión","Jime",CONCATENATE(VLOOKUP(G540,OPCIONES!D:E,2,0),VLOOKUP(H540,OPCIONES!$G$2:$H$8,2,0))))</f>
        <v/>
      </c>
      <c r="J540" s="49">
        <f t="shared" si="9"/>
        <v>15000</v>
      </c>
      <c r="K540" s="49" t="s">
        <v>91</v>
      </c>
      <c r="L540" s="49" t="s">
        <v>176</v>
      </c>
      <c r="N540" s="49" t="s">
        <v>254</v>
      </c>
    </row>
    <row r="541" spans="1:14" ht="27.9" customHeight="1" x14ac:dyDescent="0.3">
      <c r="A541" s="31"/>
      <c r="B541" s="30"/>
      <c r="C541" s="31"/>
      <c r="D541" s="31"/>
      <c r="E541" s="30"/>
      <c r="F541" s="31"/>
      <c r="G541" s="31"/>
      <c r="H541" s="30"/>
      <c r="I541" s="31" t="str">
        <f>IF(F541="","",IF(F541="Tecnicatura en composición coreográfica en ddv fusión","Jime",CONCATENATE(VLOOKUP(G541,OPCIONES!D:E,2,0),VLOOKUP(H541,OPCIONES!$G$2:$H$8,2,0))))</f>
        <v/>
      </c>
      <c r="J541" s="49">
        <f t="shared" si="9"/>
        <v>15000</v>
      </c>
      <c r="K541" s="49" t="s">
        <v>91</v>
      </c>
      <c r="L541" s="49" t="s">
        <v>176</v>
      </c>
      <c r="N541" s="49" t="s">
        <v>254</v>
      </c>
    </row>
    <row r="542" spans="1:14" ht="27.9" customHeight="1" x14ac:dyDescent="0.3">
      <c r="A542" s="31"/>
      <c r="B542" s="30"/>
      <c r="C542" s="31"/>
      <c r="D542" s="31"/>
      <c r="E542" s="30"/>
      <c r="F542" s="31"/>
      <c r="G542" s="31"/>
      <c r="H542" s="30"/>
      <c r="I542" s="31" t="str">
        <f>IF(F542="","",IF(F542="Tecnicatura en composición coreográfica en ddv fusión","Jime",CONCATENATE(VLOOKUP(G542,OPCIONES!D:E,2,0),VLOOKUP(H542,OPCIONES!$G$2:$H$8,2,0))))</f>
        <v/>
      </c>
      <c r="J542" s="49">
        <f t="shared" si="9"/>
        <v>15000</v>
      </c>
      <c r="K542" s="49" t="s">
        <v>91</v>
      </c>
      <c r="L542" s="49" t="s">
        <v>176</v>
      </c>
      <c r="N542" s="49" t="s">
        <v>254</v>
      </c>
    </row>
    <row r="543" spans="1:14" ht="27.9" customHeight="1" x14ac:dyDescent="0.3">
      <c r="A543" s="31"/>
      <c r="B543" s="30"/>
      <c r="C543" s="31"/>
      <c r="D543" s="31"/>
      <c r="E543" s="30"/>
      <c r="F543" s="31"/>
      <c r="G543" s="31"/>
      <c r="H543" s="30"/>
      <c r="I543" s="31" t="str">
        <f>IF(F543="","",IF(F543="Tecnicatura en composición coreográfica en ddv fusión","Jime",CONCATENATE(VLOOKUP(G543,OPCIONES!D:E,2,0),VLOOKUP(H543,OPCIONES!$G$2:$H$8,2,0))))</f>
        <v/>
      </c>
      <c r="J543" s="49">
        <f t="shared" si="9"/>
        <v>15000</v>
      </c>
      <c r="K543" s="49" t="s">
        <v>91</v>
      </c>
      <c r="L543" s="49" t="s">
        <v>176</v>
      </c>
      <c r="N543" s="49" t="s">
        <v>254</v>
      </c>
    </row>
    <row r="544" spans="1:14" ht="27.9" customHeight="1" x14ac:dyDescent="0.3">
      <c r="A544" s="31"/>
      <c r="B544" s="30"/>
      <c r="C544" s="31"/>
      <c r="D544" s="31"/>
      <c r="E544" s="30"/>
      <c r="F544" s="31"/>
      <c r="G544" s="31"/>
      <c r="H544" s="30"/>
      <c r="I544" s="31" t="str">
        <f>IF(F544="","",IF(F544="Tecnicatura en composición coreográfica en ddv fusión","Jime",CONCATENATE(VLOOKUP(G544,OPCIONES!D:E,2,0),VLOOKUP(H544,OPCIONES!$G$2:$H$8,2,0))))</f>
        <v/>
      </c>
      <c r="J544" s="49">
        <f t="shared" si="9"/>
        <v>15000</v>
      </c>
      <c r="K544" s="49" t="s">
        <v>91</v>
      </c>
      <c r="L544" s="49" t="s">
        <v>176</v>
      </c>
      <c r="N544" s="49" t="s">
        <v>254</v>
      </c>
    </row>
    <row r="545" spans="1:14" ht="27.9" customHeight="1" x14ac:dyDescent="0.3">
      <c r="A545" s="31"/>
      <c r="B545" s="30"/>
      <c r="C545" s="31"/>
      <c r="D545" s="31"/>
      <c r="E545" s="30"/>
      <c r="F545" s="31"/>
      <c r="G545" s="31"/>
      <c r="H545" s="30"/>
      <c r="I545" s="31" t="str">
        <f>IF(F545="","",IF(F545="Tecnicatura en composición coreográfica en ddv fusión","Jime",CONCATENATE(VLOOKUP(G545,OPCIONES!D:E,2,0),VLOOKUP(H545,OPCIONES!$G$2:$H$8,2,0))))</f>
        <v/>
      </c>
      <c r="J545" s="49">
        <f t="shared" si="9"/>
        <v>15000</v>
      </c>
      <c r="K545" s="49" t="s">
        <v>91</v>
      </c>
      <c r="L545" s="49" t="s">
        <v>176</v>
      </c>
      <c r="N545" s="49" t="s">
        <v>254</v>
      </c>
    </row>
    <row r="546" spans="1:14" ht="27.9" customHeight="1" x14ac:dyDescent="0.3">
      <c r="A546" s="31"/>
      <c r="B546" s="30"/>
      <c r="C546" s="31"/>
      <c r="D546" s="31"/>
      <c r="E546" s="30"/>
      <c r="F546" s="31"/>
      <c r="G546" s="31"/>
      <c r="H546" s="30"/>
      <c r="I546" s="31" t="str">
        <f>IF(F546="","",IF(F546="Tecnicatura en composición coreográfica en ddv fusión","Jime",CONCATENATE(VLOOKUP(G546,OPCIONES!D:E,2,0),VLOOKUP(H546,OPCIONES!$G$2:$H$8,2,0))))</f>
        <v/>
      </c>
      <c r="J546" s="49">
        <f t="shared" si="9"/>
        <v>15000</v>
      </c>
      <c r="K546" s="49" t="s">
        <v>91</v>
      </c>
      <c r="L546" s="49" t="s">
        <v>176</v>
      </c>
      <c r="N546" s="49" t="s">
        <v>254</v>
      </c>
    </row>
    <row r="547" spans="1:14" ht="27.9" customHeight="1" x14ac:dyDescent="0.3">
      <c r="A547" s="31"/>
      <c r="B547" s="30"/>
      <c r="C547" s="31"/>
      <c r="D547" s="31"/>
      <c r="E547" s="30"/>
      <c r="F547" s="31"/>
      <c r="G547" s="31"/>
      <c r="H547" s="30"/>
      <c r="I547" s="31" t="str">
        <f>IF(F547="","",IF(F547="Tecnicatura en composición coreográfica en ddv fusión","Jime",CONCATENATE(VLOOKUP(G547,OPCIONES!D:E,2,0),VLOOKUP(H547,OPCIONES!$G$2:$H$8,2,0))))</f>
        <v/>
      </c>
      <c r="J547" s="49">
        <f t="shared" si="9"/>
        <v>15000</v>
      </c>
      <c r="K547" s="49" t="s">
        <v>91</v>
      </c>
      <c r="L547" s="49" t="s">
        <v>176</v>
      </c>
      <c r="N547" s="49" t="s">
        <v>254</v>
      </c>
    </row>
    <row r="548" spans="1:14" ht="27.9" customHeight="1" x14ac:dyDescent="0.3">
      <c r="A548" s="31"/>
      <c r="B548" s="30"/>
      <c r="C548" s="31"/>
      <c r="D548" s="31"/>
      <c r="E548" s="30"/>
      <c r="F548" s="31"/>
      <c r="G548" s="31"/>
      <c r="H548" s="30"/>
      <c r="I548" s="31" t="str">
        <f>IF(F548="","",IF(F548="Tecnicatura en composición coreográfica en ddv fusión","Jime",CONCATENATE(VLOOKUP(G548,OPCIONES!D:E,2,0),VLOOKUP(H548,OPCIONES!$G$2:$H$8,2,0))))</f>
        <v/>
      </c>
      <c r="J548" s="49">
        <f t="shared" si="9"/>
        <v>15000</v>
      </c>
      <c r="K548" s="49" t="s">
        <v>91</v>
      </c>
      <c r="L548" s="49" t="s">
        <v>176</v>
      </c>
      <c r="N548" s="49" t="s">
        <v>254</v>
      </c>
    </row>
    <row r="549" spans="1:14" ht="27.9" customHeight="1" x14ac:dyDescent="0.3">
      <c r="A549" s="31"/>
      <c r="B549" s="30"/>
      <c r="C549" s="31"/>
      <c r="D549" s="31"/>
      <c r="E549" s="30"/>
      <c r="F549" s="31"/>
      <c r="G549" s="31"/>
      <c r="H549" s="30"/>
      <c r="I549" s="31" t="str">
        <f>IF(F549="","",IF(F549="Tecnicatura en composición coreográfica en ddv fusión","Jime",CONCATENATE(VLOOKUP(G549,OPCIONES!D:E,2,0),VLOOKUP(H549,OPCIONES!$G$2:$H$8,2,0))))</f>
        <v/>
      </c>
      <c r="J549" s="49">
        <f t="shared" si="9"/>
        <v>15000</v>
      </c>
      <c r="K549" s="49" t="s">
        <v>91</v>
      </c>
      <c r="L549" s="49" t="s">
        <v>176</v>
      </c>
      <c r="N549" s="49" t="s">
        <v>254</v>
      </c>
    </row>
    <row r="550" spans="1:14" ht="27.9" customHeight="1" x14ac:dyDescent="0.3">
      <c r="A550" s="31"/>
      <c r="B550" s="30"/>
      <c r="C550" s="31"/>
      <c r="D550" s="31"/>
      <c r="E550" s="30"/>
      <c r="F550" s="31"/>
      <c r="G550" s="31"/>
      <c r="H550" s="30"/>
      <c r="I550" s="31" t="str">
        <f>IF(F550="","",IF(F550="Tecnicatura en composición coreográfica en ddv fusión","Jime",CONCATENATE(VLOOKUP(G550,OPCIONES!D:E,2,0),VLOOKUP(H550,OPCIONES!$G$2:$H$8,2,0))))</f>
        <v/>
      </c>
      <c r="J550" s="49">
        <f t="shared" si="9"/>
        <v>15000</v>
      </c>
      <c r="K550" s="49" t="s">
        <v>91</v>
      </c>
      <c r="L550" s="49" t="s">
        <v>176</v>
      </c>
      <c r="N550" s="49" t="s">
        <v>254</v>
      </c>
    </row>
    <row r="551" spans="1:14" ht="27.9" customHeight="1" x14ac:dyDescent="0.3">
      <c r="A551" s="31"/>
      <c r="B551" s="30"/>
      <c r="C551" s="31"/>
      <c r="D551" s="31"/>
      <c r="E551" s="30"/>
      <c r="F551" s="31"/>
      <c r="G551" s="31"/>
      <c r="H551" s="30"/>
      <c r="I551" s="31" t="str">
        <f>IF(F551="","",IF(F551="Tecnicatura en composición coreográfica en ddv fusión","Jime",CONCATENATE(VLOOKUP(G551,OPCIONES!D:E,2,0),VLOOKUP(H551,OPCIONES!$G$2:$H$8,2,0))))</f>
        <v/>
      </c>
      <c r="J551" s="49">
        <f t="shared" si="9"/>
        <v>15000</v>
      </c>
      <c r="K551" s="49" t="s">
        <v>91</v>
      </c>
      <c r="L551" s="49" t="s">
        <v>176</v>
      </c>
      <c r="N551" s="49" t="s">
        <v>254</v>
      </c>
    </row>
    <row r="552" spans="1:14" ht="27.9" customHeight="1" x14ac:dyDescent="0.3">
      <c r="A552" s="31"/>
      <c r="B552" s="30"/>
      <c r="C552" s="31"/>
      <c r="D552" s="31"/>
      <c r="E552" s="30"/>
      <c r="F552" s="31"/>
      <c r="G552" s="31"/>
      <c r="H552" s="30"/>
      <c r="I552" s="31" t="str">
        <f>IF(F552="","",IF(F552="Tecnicatura en composición coreográfica en ddv fusión","Jime",CONCATENATE(VLOOKUP(G552,OPCIONES!D:E,2,0),VLOOKUP(H552,OPCIONES!$G$2:$H$8,2,0))))</f>
        <v/>
      </c>
      <c r="J552" s="49">
        <f t="shared" si="9"/>
        <v>15000</v>
      </c>
      <c r="K552" s="49" t="s">
        <v>91</v>
      </c>
      <c r="L552" s="49" t="s">
        <v>176</v>
      </c>
      <c r="N552" s="49" t="s">
        <v>254</v>
      </c>
    </row>
    <row r="553" spans="1:14" x14ac:dyDescent="0.3">
      <c r="G553" s="31"/>
      <c r="H553" s="30"/>
      <c r="I553" s="31" t="str">
        <f>IF(F553="","",IF(F553="Tecnicatura en composición coreográfica en ddv fusión","Jime",CONCATENATE(VLOOKUP(G553,OPCIONES!D:E,2,0),VLOOKUP(H553,OPCIONES!$G$2:$H$8,2,0))))</f>
        <v/>
      </c>
      <c r="J553" s="49">
        <f t="shared" si="9"/>
        <v>15000</v>
      </c>
      <c r="K553" s="49" t="s">
        <v>91</v>
      </c>
      <c r="L553" s="49" t="s">
        <v>176</v>
      </c>
      <c r="N553" s="49" t="s">
        <v>254</v>
      </c>
    </row>
  </sheetData>
  <mergeCells count="1">
    <mergeCell ref="A1:B2"/>
  </mergeCells>
  <phoneticPr fontId="13" type="noConversion"/>
  <hyperlinks>
    <hyperlink ref="D7" r:id="rId1"/>
    <hyperlink ref="D6" r:id="rId2"/>
    <hyperlink ref="D8" r:id="rId3"/>
    <hyperlink ref="D9" r:id="rId4"/>
    <hyperlink ref="D10" r:id="rId5"/>
    <hyperlink ref="D11" r:id="rId6"/>
    <hyperlink ref="D12" r:id="rId7"/>
    <hyperlink ref="D14" r:id="rId8"/>
    <hyperlink ref="D15" r:id="rId9"/>
    <hyperlink ref="D16" r:id="rId10"/>
    <hyperlink ref="D17" r:id="rId11"/>
  </hyperlinks>
  <pageMargins left="0.7" right="0.7" top="0.75" bottom="0.75" header="0.3" footer="0.3"/>
  <pageSetup orientation="portrait" r:id="rId12"/>
  <drawing r:id="rId1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>
          <x14:formula1>
            <xm:f>OPCIONES!$G$1:$G$8</xm:f>
          </x14:formula1>
          <xm:sqref>H6:H553</xm:sqref>
        </x14:dataValidation>
        <x14:dataValidation type="list" showInputMessage="1" showErrorMessage="1">
          <x14:formula1>
            <xm:f>OPCIONES!$A:$A</xm:f>
          </x14:formula1>
          <xm:sqref>F6:F552</xm:sqref>
        </x14:dataValidation>
        <x14:dataValidation type="list" showInputMessage="1" showErrorMessage="1">
          <x14:formula1>
            <xm:f>OPCIONES!$D$1:$D$41</xm:f>
          </x14:formula1>
          <xm:sqref>G6:G553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opLeftCell="A4" workbookViewId="0">
      <selection activeCell="E22" sqref="E22"/>
    </sheetView>
  </sheetViews>
  <sheetFormatPr baseColWidth="10" defaultRowHeight="14.4" x14ac:dyDescent="0.3"/>
  <cols>
    <col min="1" max="1" width="43.88671875" style="1" customWidth="1"/>
    <col min="2" max="2" width="12.44140625" style="9" customWidth="1"/>
    <col min="3" max="3" width="14.5546875" style="9" customWidth="1"/>
    <col min="4" max="4" width="12.109375" style="9" customWidth="1"/>
    <col min="5" max="5" width="15" style="9" customWidth="1"/>
    <col min="6" max="6" width="14.88671875" style="9" customWidth="1"/>
  </cols>
  <sheetData>
    <row r="1" spans="1:10" ht="15" x14ac:dyDescent="0.25">
      <c r="A1" s="1" t="s">
        <v>4</v>
      </c>
      <c r="E1" s="9">
        <f>17000*2</f>
        <v>34000</v>
      </c>
      <c r="F1" s="9">
        <f>27500+17000</f>
        <v>44500</v>
      </c>
      <c r="G1">
        <f>19500+26500</f>
        <v>46000</v>
      </c>
      <c r="H1">
        <f>26500+26500</f>
        <v>53000</v>
      </c>
      <c r="I1">
        <f>18500+38000</f>
        <v>56500</v>
      </c>
    </row>
    <row r="2" spans="1:10" ht="15.75" thickBot="1" x14ac:dyDescent="0.3">
      <c r="I2">
        <f>19500+38000</f>
        <v>57500</v>
      </c>
    </row>
    <row r="3" spans="1:10" s="2" customFormat="1" ht="15" x14ac:dyDescent="0.25">
      <c r="A3" s="16" t="s">
        <v>231</v>
      </c>
      <c r="B3" s="17" t="s">
        <v>8</v>
      </c>
      <c r="G3" s="2">
        <f>19500+18500</f>
        <v>38000</v>
      </c>
      <c r="H3" s="2">
        <f>26500+18500</f>
        <v>45000</v>
      </c>
    </row>
    <row r="4" spans="1:10" ht="29.4" customHeight="1" x14ac:dyDescent="0.3">
      <c r="A4" s="4" t="s">
        <v>5</v>
      </c>
      <c r="B4" s="14">
        <v>47000</v>
      </c>
      <c r="C4" s="82"/>
      <c r="D4" s="82"/>
      <c r="E4">
        <f t="shared" ref="E4:E5" si="0">+B4*1.2</f>
        <v>56400</v>
      </c>
      <c r="F4">
        <v>47000</v>
      </c>
    </row>
    <row r="5" spans="1:10" ht="28.8" x14ac:dyDescent="0.3">
      <c r="A5" s="5" t="s">
        <v>6</v>
      </c>
      <c r="B5" s="14">
        <v>59000</v>
      </c>
      <c r="C5" s="82"/>
      <c r="D5" s="82"/>
      <c r="E5">
        <f t="shared" si="0"/>
        <v>70800</v>
      </c>
      <c r="F5">
        <v>59000</v>
      </c>
    </row>
    <row r="6" spans="1:10" ht="29.4" thickBot="1" x14ac:dyDescent="0.35">
      <c r="A6" s="6" t="s">
        <v>7</v>
      </c>
      <c r="B6" s="15"/>
      <c r="C6" s="82"/>
      <c r="D6" s="82"/>
      <c r="E6">
        <v>43000</v>
      </c>
      <c r="F6">
        <v>43000</v>
      </c>
    </row>
    <row r="7" spans="1:10" ht="15.75" thickBot="1" x14ac:dyDescent="0.3"/>
    <row r="8" spans="1:10" ht="15" x14ac:dyDescent="0.25">
      <c r="A8" s="3" t="s">
        <v>22</v>
      </c>
      <c r="B8" s="11" t="s">
        <v>26</v>
      </c>
      <c r="C8" s="11" t="s">
        <v>27</v>
      </c>
      <c r="D8" s="11" t="s">
        <v>229</v>
      </c>
      <c r="E8"/>
      <c r="F8" s="18"/>
    </row>
    <row r="9" spans="1:10" x14ac:dyDescent="0.3">
      <c r="A9" s="4" t="s">
        <v>28</v>
      </c>
      <c r="B9" s="12">
        <v>50000</v>
      </c>
      <c r="C9" s="12">
        <v>61000</v>
      </c>
      <c r="D9" s="12">
        <v>72000</v>
      </c>
      <c r="G9">
        <f>+F4*2</f>
        <v>94000</v>
      </c>
      <c r="H9" s="18"/>
      <c r="I9" s="18"/>
      <c r="J9" s="18"/>
    </row>
    <row r="10" spans="1:10" ht="15" x14ac:dyDescent="0.25">
      <c r="A10" s="5" t="s">
        <v>29</v>
      </c>
      <c r="B10" s="12">
        <v>61000</v>
      </c>
      <c r="C10" s="12">
        <v>72000</v>
      </c>
      <c r="D10" s="12">
        <v>83000</v>
      </c>
      <c r="H10" s="18"/>
      <c r="I10" s="18"/>
      <c r="J10" s="18"/>
    </row>
    <row r="11" spans="1:10" ht="15.75" thickBot="1" x14ac:dyDescent="0.3">
      <c r="A11" s="6" t="s">
        <v>30</v>
      </c>
      <c r="B11" s="12">
        <v>45000</v>
      </c>
      <c r="C11" s="12">
        <v>55000</v>
      </c>
      <c r="D11" s="12">
        <v>65000</v>
      </c>
      <c r="H11" s="18"/>
      <c r="I11" s="18"/>
      <c r="J11" s="18"/>
    </row>
    <row r="12" spans="1:10" ht="15.75" thickBot="1" x14ac:dyDescent="0.3">
      <c r="B12" s="19"/>
      <c r="C12" s="19"/>
      <c r="D12" s="19"/>
      <c r="E12" s="19"/>
      <c r="F12" s="19"/>
    </row>
    <row r="13" spans="1:10" ht="15" x14ac:dyDescent="0.25">
      <c r="A13" s="3" t="s">
        <v>33</v>
      </c>
      <c r="B13" s="20" t="s">
        <v>8</v>
      </c>
      <c r="C13"/>
      <c r="D13"/>
      <c r="E13"/>
      <c r="F13"/>
    </row>
    <row r="14" spans="1:10" x14ac:dyDescent="0.3">
      <c r="A14" s="8" t="s">
        <v>31</v>
      </c>
      <c r="B14" s="12">
        <v>50000</v>
      </c>
      <c r="C14"/>
      <c r="D14"/>
      <c r="E14"/>
      <c r="F14"/>
    </row>
    <row r="15" spans="1:10" ht="15.75" thickBot="1" x14ac:dyDescent="0.3">
      <c r="A15" s="7" t="s">
        <v>32</v>
      </c>
      <c r="B15" s="13">
        <v>60000</v>
      </c>
      <c r="C15"/>
      <c r="D15"/>
      <c r="E15"/>
      <c r="F15"/>
    </row>
    <row r="16" spans="1:10" ht="15.75" thickBot="1" x14ac:dyDescent="0.3"/>
    <row r="17" spans="1:8" ht="15" x14ac:dyDescent="0.25">
      <c r="A17" s="3" t="s">
        <v>34</v>
      </c>
      <c r="B17" s="10" t="s">
        <v>24</v>
      </c>
      <c r="C17" s="10" t="s">
        <v>25</v>
      </c>
      <c r="D17" s="10" t="s">
        <v>230</v>
      </c>
      <c r="E17"/>
      <c r="F17"/>
      <c r="G17" s="118"/>
    </row>
    <row r="18" spans="1:8" x14ac:dyDescent="0.3">
      <c r="A18" s="8" t="s">
        <v>16</v>
      </c>
      <c r="B18" s="176">
        <v>39000</v>
      </c>
      <c r="C18" s="176">
        <v>49000</v>
      </c>
      <c r="D18" s="176">
        <v>70000</v>
      </c>
      <c r="E18"/>
      <c r="F18" s="174">
        <v>39000</v>
      </c>
      <c r="G18" s="174">
        <v>49000</v>
      </c>
      <c r="H18" s="174">
        <v>70000</v>
      </c>
    </row>
    <row r="19" spans="1:8" x14ac:dyDescent="0.3">
      <c r="A19" s="8" t="s">
        <v>17</v>
      </c>
      <c r="B19" s="177"/>
      <c r="C19" s="177"/>
      <c r="D19" s="177"/>
      <c r="E19"/>
      <c r="F19" s="175"/>
      <c r="G19" s="175"/>
      <c r="H19" s="175"/>
    </row>
    <row r="20" spans="1:8" x14ac:dyDescent="0.3">
      <c r="A20" s="8" t="s">
        <v>18</v>
      </c>
      <c r="B20" s="177"/>
      <c r="C20" s="177"/>
      <c r="D20" s="177"/>
      <c r="E20"/>
      <c r="F20" s="175"/>
      <c r="G20" s="175"/>
      <c r="H20" s="175"/>
    </row>
    <row r="21" spans="1:8" x14ac:dyDescent="0.3">
      <c r="A21" s="8" t="s">
        <v>232</v>
      </c>
      <c r="B21" s="177"/>
      <c r="C21" s="177"/>
      <c r="D21" s="177"/>
      <c r="E21"/>
      <c r="F21" s="175"/>
      <c r="G21" s="175"/>
      <c r="H21" s="175"/>
    </row>
    <row r="22" spans="1:8" ht="28.8" x14ac:dyDescent="0.3">
      <c r="A22" s="8" t="s">
        <v>19</v>
      </c>
      <c r="B22" s="177"/>
      <c r="C22" s="177"/>
      <c r="D22" s="177"/>
      <c r="E22"/>
      <c r="F22" s="175"/>
      <c r="G22" s="175"/>
      <c r="H22" s="175"/>
    </row>
    <row r="23" spans="1:8" x14ac:dyDescent="0.3">
      <c r="A23" s="8" t="s">
        <v>20</v>
      </c>
      <c r="B23" s="177"/>
      <c r="C23" s="177"/>
      <c r="D23" s="177"/>
      <c r="E23"/>
      <c r="F23" s="175"/>
      <c r="G23" s="175"/>
      <c r="H23" s="175"/>
    </row>
    <row r="24" spans="1:8" ht="29.4" thickBot="1" x14ac:dyDescent="0.35">
      <c r="A24" s="7" t="s">
        <v>21</v>
      </c>
      <c r="B24" s="178"/>
      <c r="C24" s="178"/>
      <c r="D24" s="178"/>
      <c r="E24"/>
      <c r="F24" s="175"/>
      <c r="G24" s="175"/>
      <c r="H24" s="175"/>
    </row>
    <row r="26" spans="1:8" ht="15" x14ac:dyDescent="0.25">
      <c r="A26" s="1" t="s">
        <v>243</v>
      </c>
      <c r="B26" s="9">
        <v>20000</v>
      </c>
      <c r="E26"/>
      <c r="F26"/>
    </row>
    <row r="28" spans="1:8" ht="15" x14ac:dyDescent="0.25">
      <c r="C28" s="9">
        <f>+B18*1.1</f>
        <v>42900</v>
      </c>
    </row>
    <row r="29" spans="1:8" ht="15" x14ac:dyDescent="0.25">
      <c r="E29" s="9">
        <f>10000*1.2</f>
        <v>12000</v>
      </c>
    </row>
    <row r="30" spans="1:8" ht="15" x14ac:dyDescent="0.25">
      <c r="E30" s="9">
        <f>+E29*3</f>
        <v>36000</v>
      </c>
    </row>
  </sheetData>
  <mergeCells count="6">
    <mergeCell ref="H18:H24"/>
    <mergeCell ref="D18:D24"/>
    <mergeCell ref="C18:C24"/>
    <mergeCell ref="B18:B24"/>
    <mergeCell ref="F18:F24"/>
    <mergeCell ref="G18:G24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>
      <selection activeCell="E16" sqref="E16"/>
    </sheetView>
  </sheetViews>
  <sheetFormatPr baseColWidth="10" defaultRowHeight="14.4" x14ac:dyDescent="0.3"/>
  <cols>
    <col min="1" max="1" width="43.109375" customWidth="1"/>
    <col min="4" max="4" width="38.44140625" customWidth="1"/>
    <col min="5" max="5" width="16.109375" customWidth="1"/>
    <col min="7" max="7" width="21.88671875" customWidth="1"/>
  </cols>
  <sheetData>
    <row r="1" spans="1:8" ht="15" x14ac:dyDescent="0.25">
      <c r="A1" s="22"/>
      <c r="B1" s="23"/>
    </row>
    <row r="2" spans="1:8" ht="27.9" customHeight="1" x14ac:dyDescent="0.25">
      <c r="A2" s="24" t="str">
        <f>ARANCELES!A4</f>
        <v>Profesorado danza del vientre básico (una vez x semana+teórico mensual)</v>
      </c>
      <c r="B2" s="14">
        <f>ARANCELES!B4</f>
        <v>47000</v>
      </c>
      <c r="D2" t="s">
        <v>35</v>
      </c>
      <c r="E2" t="s">
        <v>115</v>
      </c>
      <c r="G2" t="s">
        <v>40</v>
      </c>
      <c r="H2" t="s">
        <v>15</v>
      </c>
    </row>
    <row r="3" spans="1:8" ht="28.8" x14ac:dyDescent="0.3">
      <c r="A3" s="25" t="str">
        <f>ARANCELES!A5</f>
        <v>Profesorado danza del vientre intensivo (2 veces por semana+teóricos)</v>
      </c>
      <c r="B3" s="14">
        <f>ARANCELES!B5</f>
        <v>59000</v>
      </c>
      <c r="D3" t="s">
        <v>39</v>
      </c>
      <c r="E3" t="s">
        <v>116</v>
      </c>
      <c r="G3" t="s">
        <v>42</v>
      </c>
      <c r="H3" t="s">
        <v>15</v>
      </c>
    </row>
    <row r="4" spans="1:8" ht="28.8" x14ac:dyDescent="0.3">
      <c r="A4" s="26" t="str">
        <f>ARANCELES!A6</f>
        <v>Tecnicatura en composición coreográfica en ddv fusión</v>
      </c>
      <c r="B4" s="14">
        <f>ARANCELES!B6</f>
        <v>0</v>
      </c>
      <c r="D4" t="s">
        <v>44</v>
      </c>
      <c r="E4" t="s">
        <v>116</v>
      </c>
      <c r="G4" t="s">
        <v>37</v>
      </c>
      <c r="H4" t="s">
        <v>15</v>
      </c>
    </row>
    <row r="5" spans="1:8" ht="15" x14ac:dyDescent="0.25">
      <c r="A5" s="27" t="str">
        <f>CONCATENATE(ARANCELES!A9," ",ARANCELES!B8)</f>
        <v>Profesorado básico 1 actividad</v>
      </c>
      <c r="B5" s="14">
        <f>ARANCELES!B9</f>
        <v>50000</v>
      </c>
      <c r="D5" t="s">
        <v>45</v>
      </c>
      <c r="E5" t="s">
        <v>116</v>
      </c>
      <c r="G5" t="s">
        <v>43</v>
      </c>
      <c r="H5" t="s">
        <v>15</v>
      </c>
    </row>
    <row r="6" spans="1:8" ht="15" x14ac:dyDescent="0.25">
      <c r="A6" s="27" t="str">
        <f>CONCATENATE(ARANCELES!A9," ",ARANCELES!C8)</f>
        <v>Profesorado básico 2 actividades</v>
      </c>
      <c r="B6" s="14">
        <f>ARANCELES!C9</f>
        <v>61000</v>
      </c>
      <c r="D6" t="s">
        <v>46</v>
      </c>
      <c r="E6" t="s">
        <v>116</v>
      </c>
      <c r="G6" t="s">
        <v>36</v>
      </c>
      <c r="H6" t="s">
        <v>14</v>
      </c>
    </row>
    <row r="7" spans="1:8" ht="45" x14ac:dyDescent="0.25">
      <c r="A7" s="27" t="str">
        <f>CONCATENATE(ARANCELES!A9," ",ARANCELES!D8)</f>
        <v>Profesorado básico 3 actividades</v>
      </c>
      <c r="B7" s="14">
        <f>ARANCELES!D9</f>
        <v>72000</v>
      </c>
      <c r="D7" s="1" t="s">
        <v>93</v>
      </c>
      <c r="E7" t="s">
        <v>119</v>
      </c>
      <c r="G7" t="s">
        <v>47</v>
      </c>
      <c r="H7" t="s">
        <v>15</v>
      </c>
    </row>
    <row r="8" spans="1:8" ht="15" x14ac:dyDescent="0.25">
      <c r="A8" s="28" t="str">
        <f>CONCATENATE(ARANCELES!A10," ",ARANCELES!B8)</f>
        <v>Profesorado intensivo 1 actividad</v>
      </c>
      <c r="B8" s="14">
        <f>ARANCELES!B10</f>
        <v>61000</v>
      </c>
      <c r="D8" t="s">
        <v>94</v>
      </c>
      <c r="E8" t="s">
        <v>115</v>
      </c>
      <c r="G8" t="s">
        <v>106</v>
      </c>
    </row>
    <row r="9" spans="1:8" ht="15" x14ac:dyDescent="0.25">
      <c r="A9" s="28" t="str">
        <f>CONCATENATE(ARANCELES!A10," ",ARANCELES!C8)</f>
        <v>Profesorado intensivo 2 actividades</v>
      </c>
      <c r="B9" s="14">
        <f>ARANCELES!C10</f>
        <v>72000</v>
      </c>
      <c r="D9" t="s">
        <v>95</v>
      </c>
      <c r="E9" t="s">
        <v>119</v>
      </c>
    </row>
    <row r="10" spans="1:8" ht="15" x14ac:dyDescent="0.25">
      <c r="A10" s="28" t="str">
        <f>CONCATENATE(ARANCELES!A10," ",ARANCELES!D8)</f>
        <v>Profesorado intensivo 3 actividades</v>
      </c>
      <c r="B10" s="14">
        <f>ARANCELES!D10</f>
        <v>83000</v>
      </c>
      <c r="D10" t="s">
        <v>96</v>
      </c>
      <c r="E10" t="s">
        <v>119</v>
      </c>
    </row>
    <row r="11" spans="1:8" ht="15" x14ac:dyDescent="0.25">
      <c r="A11" s="26" t="str">
        <f>CONCATENATE(ARANCELES!A11," ",ARANCELES!B8)</f>
        <v>Tecnicatura 1 actividad</v>
      </c>
      <c r="B11" s="14">
        <f>ARANCELES!B11</f>
        <v>45000</v>
      </c>
      <c r="D11" t="s">
        <v>97</v>
      </c>
      <c r="E11" t="s">
        <v>119</v>
      </c>
    </row>
    <row r="12" spans="1:8" ht="15" x14ac:dyDescent="0.25">
      <c r="A12" s="26" t="str">
        <f>CONCATENATE(ARANCELES!A11," ",ARANCELES!C8)</f>
        <v>Tecnicatura 2 actividades</v>
      </c>
      <c r="B12" s="14">
        <f>ARANCELES!C11</f>
        <v>55000</v>
      </c>
      <c r="D12" t="s">
        <v>99</v>
      </c>
      <c r="E12" t="s">
        <v>115</v>
      </c>
    </row>
    <row r="13" spans="1:8" ht="15" x14ac:dyDescent="0.25">
      <c r="A13" s="26" t="str">
        <f>CONCATENATE(ARANCELES!A11," ",ARANCELES!D8)</f>
        <v>Tecnicatura 3 actividades</v>
      </c>
      <c r="B13" s="14">
        <f>ARANCELES!D11</f>
        <v>65000</v>
      </c>
      <c r="D13" t="s">
        <v>98</v>
      </c>
      <c r="E13" t="s">
        <v>114</v>
      </c>
    </row>
    <row r="14" spans="1:8" ht="15" x14ac:dyDescent="0.25">
      <c r="A14" s="23" t="str">
        <f>ARANCELES!A14</f>
        <v xml:space="preserve">Profesorado Básico +Tecnicatura </v>
      </c>
      <c r="B14" s="14">
        <f>ARANCELES!B14</f>
        <v>50000</v>
      </c>
      <c r="D14" t="s">
        <v>100</v>
      </c>
      <c r="E14" t="s">
        <v>114</v>
      </c>
    </row>
    <row r="15" spans="1:8" ht="15" x14ac:dyDescent="0.25">
      <c r="A15" s="23" t="str">
        <f>ARANCELES!A15</f>
        <v xml:space="preserve">Profesorado Intensivo +Tecnicatura </v>
      </c>
      <c r="B15" s="14">
        <f>ARANCELES!B15</f>
        <v>60000</v>
      </c>
      <c r="D15" t="s">
        <v>101</v>
      </c>
      <c r="E15" t="s">
        <v>114</v>
      </c>
    </row>
    <row r="16" spans="1:8" ht="15" x14ac:dyDescent="0.25">
      <c r="A16" s="23" t="str">
        <f>CONCATENATE(ARANCELES!A17," ",ARANCELES!B17)</f>
        <v>CLASES 1 vez</v>
      </c>
      <c r="B16" s="14">
        <f>ARANCELES!B18</f>
        <v>39000</v>
      </c>
      <c r="D16" t="s">
        <v>102</v>
      </c>
      <c r="E16" t="s">
        <v>114</v>
      </c>
      <c r="G16" t="s">
        <v>123</v>
      </c>
      <c r="H16">
        <f>15000/4</f>
        <v>3750</v>
      </c>
    </row>
    <row r="17" spans="1:5" ht="15" x14ac:dyDescent="0.25">
      <c r="A17" s="23" t="str">
        <f>CONCATENATE(ARANCELES!A17," ",ARANCELES!C17)</f>
        <v>CLASES 2 veces</v>
      </c>
      <c r="B17" s="14">
        <f>ARANCELES!C18</f>
        <v>49000</v>
      </c>
      <c r="D17" t="s">
        <v>103</v>
      </c>
      <c r="E17" t="s">
        <v>114</v>
      </c>
    </row>
    <row r="18" spans="1:5" ht="15" x14ac:dyDescent="0.25">
      <c r="A18" s="23" t="str">
        <f>CONCATENATE(ARANCELES!A17," ",ARANCELES!D17)</f>
        <v>CLASES 3 veces</v>
      </c>
      <c r="B18" s="14">
        <f>ARANCELES!D18</f>
        <v>70000</v>
      </c>
      <c r="D18" t="s">
        <v>104</v>
      </c>
      <c r="E18" t="s">
        <v>114</v>
      </c>
    </row>
    <row r="19" spans="1:5" ht="15" x14ac:dyDescent="0.25">
      <c r="A19" s="23" t="s">
        <v>244</v>
      </c>
      <c r="B19" s="14">
        <v>18000</v>
      </c>
      <c r="D19" t="s">
        <v>105</v>
      </c>
      <c r="E19" t="s">
        <v>114</v>
      </c>
    </row>
    <row r="20" spans="1:5" ht="20.100000000000001" customHeight="1" x14ac:dyDescent="0.25">
      <c r="A20" s="29"/>
      <c r="B20" s="14"/>
      <c r="D20" s="1" t="s">
        <v>110</v>
      </c>
      <c r="E20" t="s">
        <v>117</v>
      </c>
    </row>
    <row r="21" spans="1:5" ht="30.6" customHeight="1" x14ac:dyDescent="0.25">
      <c r="A21" s="29"/>
      <c r="B21" s="14"/>
      <c r="D21" t="s">
        <v>108</v>
      </c>
      <c r="E21" t="s">
        <v>114</v>
      </c>
    </row>
    <row r="22" spans="1:5" ht="15" x14ac:dyDescent="0.25">
      <c r="D22" t="s">
        <v>111</v>
      </c>
      <c r="E22" t="s">
        <v>114</v>
      </c>
    </row>
    <row r="23" spans="1:5" ht="15" x14ac:dyDescent="0.25">
      <c r="D23" t="s">
        <v>112</v>
      </c>
      <c r="E23" t="s">
        <v>114</v>
      </c>
    </row>
    <row r="24" spans="1:5" ht="15" x14ac:dyDescent="0.25">
      <c r="D24" t="s">
        <v>113</v>
      </c>
      <c r="E24" t="s">
        <v>114</v>
      </c>
    </row>
    <row r="25" spans="1:5" ht="15" x14ac:dyDescent="0.25">
      <c r="D25" t="s">
        <v>107</v>
      </c>
      <c r="E25" t="s">
        <v>117</v>
      </c>
    </row>
    <row r="26" spans="1:5" ht="15" x14ac:dyDescent="0.25">
      <c r="D26" t="s">
        <v>120</v>
      </c>
    </row>
    <row r="27" spans="1:5" ht="15" x14ac:dyDescent="0.25">
      <c r="D27" t="s">
        <v>20</v>
      </c>
      <c r="E27" t="s">
        <v>41</v>
      </c>
    </row>
    <row r="28" spans="1:5" ht="15" x14ac:dyDescent="0.25">
      <c r="D28" t="s">
        <v>226</v>
      </c>
      <c r="E28" t="s">
        <v>227</v>
      </c>
    </row>
    <row r="29" spans="1:5" ht="15" x14ac:dyDescent="0.25">
      <c r="D29" t="s">
        <v>233</v>
      </c>
      <c r="E29" t="s">
        <v>116</v>
      </c>
    </row>
    <row r="30" spans="1:5" ht="15" x14ac:dyDescent="0.25">
      <c r="D30" t="s">
        <v>236</v>
      </c>
      <c r="E30" t="s">
        <v>116</v>
      </c>
    </row>
    <row r="31" spans="1:5" ht="15" x14ac:dyDescent="0.25">
      <c r="D31" t="s">
        <v>106</v>
      </c>
    </row>
    <row r="32" spans="1:5" ht="15" x14ac:dyDescent="0.25">
      <c r="D32" t="s">
        <v>244</v>
      </c>
      <c r="E32" t="s">
        <v>245</v>
      </c>
    </row>
    <row r="33" spans="4:5" ht="15" x14ac:dyDescent="0.25">
      <c r="D33" t="s">
        <v>251</v>
      </c>
      <c r="E33" t="s">
        <v>227</v>
      </c>
    </row>
    <row r="34" spans="4:5" ht="15" x14ac:dyDescent="0.25">
      <c r="D34" t="s">
        <v>252</v>
      </c>
      <c r="E34" t="s">
        <v>227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"/>
  <sheetViews>
    <sheetView topLeftCell="P1" zoomScale="120" zoomScaleNormal="120" workbookViewId="0">
      <selection activeCell="U14" sqref="U14"/>
    </sheetView>
  </sheetViews>
  <sheetFormatPr baseColWidth="10" defaultRowHeight="14.4" x14ac:dyDescent="0.3"/>
  <cols>
    <col min="1" max="1" width="21.44140625" customWidth="1"/>
    <col min="14" max="14" width="7.33203125" customWidth="1"/>
    <col min="15" max="15" width="16" customWidth="1"/>
    <col min="20" max="20" width="16.109375" customWidth="1"/>
  </cols>
  <sheetData>
    <row r="1" spans="1:21" ht="15" x14ac:dyDescent="0.25">
      <c r="A1" t="s">
        <v>152</v>
      </c>
    </row>
    <row r="3" spans="1:21" ht="15" x14ac:dyDescent="0.25">
      <c r="A3" t="s">
        <v>153</v>
      </c>
      <c r="G3" t="s">
        <v>50</v>
      </c>
      <c r="M3" t="s">
        <v>51</v>
      </c>
      <c r="Q3" t="s">
        <v>202</v>
      </c>
    </row>
    <row r="4" spans="1:21" ht="18" x14ac:dyDescent="0.25">
      <c r="B4" s="83" t="s">
        <v>124</v>
      </c>
      <c r="C4" s="84"/>
      <c r="D4" s="85">
        <v>2.09</v>
      </c>
      <c r="G4" s="95">
        <v>45362</v>
      </c>
      <c r="H4" s="96" t="s">
        <v>146</v>
      </c>
      <c r="I4" s="97"/>
      <c r="J4" s="104">
        <v>20.88</v>
      </c>
      <c r="L4" s="112">
        <v>45380</v>
      </c>
      <c r="M4" s="102" t="s">
        <v>169</v>
      </c>
      <c r="N4" s="103"/>
      <c r="O4" s="105">
        <v>32.39</v>
      </c>
      <c r="Q4" s="101">
        <v>45442</v>
      </c>
      <c r="R4" s="102" t="s">
        <v>213</v>
      </c>
      <c r="S4" s="103"/>
      <c r="T4" s="119">
        <v>2.5499999999999998</v>
      </c>
    </row>
    <row r="5" spans="1:21" ht="18" x14ac:dyDescent="0.25">
      <c r="A5" s="86">
        <v>45328</v>
      </c>
      <c r="B5" s="83" t="s">
        <v>125</v>
      </c>
      <c r="C5" s="84"/>
      <c r="D5" s="85">
        <v>1.83</v>
      </c>
      <c r="G5" s="95">
        <v>45360</v>
      </c>
      <c r="H5" s="96" t="s">
        <v>147</v>
      </c>
      <c r="I5" s="97"/>
      <c r="J5" s="97">
        <v>14.91</v>
      </c>
      <c r="L5" s="101">
        <v>45390</v>
      </c>
      <c r="M5" s="102" t="s">
        <v>170</v>
      </c>
      <c r="N5" s="103"/>
      <c r="O5" s="110">
        <v>31.36</v>
      </c>
      <c r="Q5" s="86">
        <v>45443</v>
      </c>
      <c r="R5" s="83" t="s">
        <v>214</v>
      </c>
      <c r="S5" s="84"/>
      <c r="T5" s="120">
        <v>2.5499999999999998</v>
      </c>
    </row>
    <row r="6" spans="1:21" ht="18" x14ac:dyDescent="0.25">
      <c r="A6" s="87">
        <v>45329</v>
      </c>
      <c r="B6" s="83" t="s">
        <v>126</v>
      </c>
      <c r="C6" s="84"/>
      <c r="D6" s="85">
        <v>2.74</v>
      </c>
      <c r="G6" s="95">
        <v>45359</v>
      </c>
      <c r="H6" s="96" t="s">
        <v>148</v>
      </c>
      <c r="I6" s="97"/>
      <c r="J6" s="97">
        <v>6.44</v>
      </c>
      <c r="L6" s="87">
        <v>45398</v>
      </c>
      <c r="M6" s="83" t="s">
        <v>171</v>
      </c>
      <c r="N6" s="84"/>
      <c r="O6" s="111">
        <v>1.75</v>
      </c>
      <c r="Q6" s="87">
        <v>45443</v>
      </c>
      <c r="R6" s="83" t="s">
        <v>215</v>
      </c>
      <c r="S6" s="84"/>
      <c r="T6" s="120">
        <v>2.54</v>
      </c>
    </row>
    <row r="7" spans="1:21" ht="18" x14ac:dyDescent="0.25">
      <c r="A7" s="87">
        <v>45329</v>
      </c>
      <c r="B7" s="83" t="s">
        <v>127</v>
      </c>
      <c r="C7" s="84"/>
      <c r="D7" s="85">
        <v>2.74</v>
      </c>
      <c r="G7" s="100">
        <v>45359</v>
      </c>
      <c r="H7" s="98" t="s">
        <v>149</v>
      </c>
      <c r="I7" s="99"/>
      <c r="J7" s="99">
        <v>4.97</v>
      </c>
      <c r="L7" s="113">
        <v>45398</v>
      </c>
      <c r="M7" s="102" t="s">
        <v>172</v>
      </c>
      <c r="N7" s="103"/>
      <c r="O7" s="110">
        <v>1.75</v>
      </c>
      <c r="Q7" s="86">
        <v>45446</v>
      </c>
      <c r="R7" s="83" t="s">
        <v>216</v>
      </c>
      <c r="S7" s="84"/>
      <c r="T7" s="120">
        <v>3.95</v>
      </c>
    </row>
    <row r="8" spans="1:21" ht="15" x14ac:dyDescent="0.25">
      <c r="A8" s="86">
        <v>45330</v>
      </c>
      <c r="B8" s="83" t="s">
        <v>128</v>
      </c>
      <c r="C8" s="84"/>
      <c r="D8" s="85">
        <v>2.57</v>
      </c>
      <c r="G8" s="101">
        <v>45357</v>
      </c>
      <c r="H8" s="102" t="s">
        <v>151</v>
      </c>
      <c r="I8" s="103"/>
      <c r="J8" s="105">
        <v>14.94</v>
      </c>
      <c r="L8" s="86">
        <v>45399</v>
      </c>
      <c r="M8" s="83" t="s">
        <v>173</v>
      </c>
      <c r="N8" s="84"/>
      <c r="O8" s="111">
        <v>1.95</v>
      </c>
      <c r="Q8" s="86">
        <v>45447</v>
      </c>
      <c r="R8" s="83" t="s">
        <v>217</v>
      </c>
      <c r="S8" s="84"/>
      <c r="T8" s="120">
        <v>1.42</v>
      </c>
    </row>
    <row r="9" spans="1:21" ht="18" x14ac:dyDescent="0.25">
      <c r="A9" s="87">
        <v>45330</v>
      </c>
      <c r="B9" s="83" t="s">
        <v>129</v>
      </c>
      <c r="C9" s="84"/>
      <c r="D9" s="85">
        <v>2.74</v>
      </c>
      <c r="G9" s="95">
        <v>45352</v>
      </c>
      <c r="H9" s="96" t="s">
        <v>150</v>
      </c>
      <c r="I9" s="97"/>
      <c r="J9" s="97">
        <v>10.88</v>
      </c>
      <c r="L9" s="87">
        <v>45399</v>
      </c>
      <c r="M9" s="83" t="s">
        <v>174</v>
      </c>
      <c r="N9" s="84"/>
      <c r="O9" s="111">
        <v>1.75</v>
      </c>
      <c r="Q9" s="101">
        <v>45461</v>
      </c>
      <c r="R9" s="102" t="s">
        <v>218</v>
      </c>
      <c r="S9" s="103"/>
      <c r="T9" s="119">
        <v>3.92</v>
      </c>
    </row>
    <row r="10" spans="1:21" ht="15" x14ac:dyDescent="0.25">
      <c r="A10" s="86">
        <v>45331</v>
      </c>
      <c r="B10" s="83" t="s">
        <v>130</v>
      </c>
      <c r="C10" s="84"/>
      <c r="D10" s="85">
        <v>4.25</v>
      </c>
      <c r="J10">
        <f>SUM(J4:J9)</f>
        <v>73.02</v>
      </c>
      <c r="K10">
        <f>J10*1000</f>
        <v>73020</v>
      </c>
      <c r="O10">
        <f>SUM(O4:O9)</f>
        <v>70.95</v>
      </c>
      <c r="Q10" s="86">
        <v>45462</v>
      </c>
      <c r="R10" s="83" t="s">
        <v>219</v>
      </c>
      <c r="S10" s="84"/>
      <c r="T10" s="120">
        <v>5.58</v>
      </c>
    </row>
    <row r="11" spans="1:21" ht="15" x14ac:dyDescent="0.25">
      <c r="A11" s="87">
        <v>45331</v>
      </c>
      <c r="B11" s="83" t="s">
        <v>131</v>
      </c>
      <c r="C11" s="84"/>
      <c r="D11" s="85">
        <v>4.25</v>
      </c>
      <c r="I11" t="s">
        <v>154</v>
      </c>
      <c r="J11">
        <v>18.52</v>
      </c>
      <c r="Q11" s="86">
        <v>45464</v>
      </c>
      <c r="R11" s="83" t="s">
        <v>220</v>
      </c>
      <c r="S11" s="84"/>
      <c r="T11" s="120">
        <v>8.36</v>
      </c>
    </row>
    <row r="12" spans="1:21" ht="15" x14ac:dyDescent="0.25">
      <c r="A12" s="87">
        <v>45332</v>
      </c>
      <c r="B12" s="83" t="s">
        <v>132</v>
      </c>
      <c r="C12" s="84"/>
      <c r="D12" s="85">
        <v>6.08</v>
      </c>
      <c r="O12">
        <f>+O10*900</f>
        <v>63855</v>
      </c>
      <c r="T12">
        <f>SUM(T4:T11)</f>
        <v>30.869999999999997</v>
      </c>
    </row>
    <row r="13" spans="1:21" ht="15" x14ac:dyDescent="0.25">
      <c r="A13" s="87">
        <v>45333</v>
      </c>
      <c r="B13" s="83" t="s">
        <v>133</v>
      </c>
      <c r="C13" s="84"/>
      <c r="D13" s="85">
        <v>6.08</v>
      </c>
      <c r="I13" t="s">
        <v>155</v>
      </c>
      <c r="J13">
        <f>J10-J11</f>
        <v>54.5</v>
      </c>
      <c r="S13" t="s">
        <v>221</v>
      </c>
      <c r="T13">
        <f>100-O10</f>
        <v>29.049999999999997</v>
      </c>
      <c r="U13">
        <f>T13*1400</f>
        <v>40669.999999999993</v>
      </c>
    </row>
    <row r="14" spans="1:21" ht="15" x14ac:dyDescent="0.25">
      <c r="A14" s="86">
        <v>45338</v>
      </c>
      <c r="B14" s="83" t="s">
        <v>134</v>
      </c>
      <c r="C14" s="84"/>
      <c r="D14" s="85">
        <v>9.08</v>
      </c>
    </row>
    <row r="15" spans="1:21" ht="15" x14ac:dyDescent="0.25">
      <c r="A15" s="86">
        <v>45341</v>
      </c>
      <c r="B15" s="83" t="s">
        <v>135</v>
      </c>
      <c r="C15" s="84"/>
      <c r="D15" s="85">
        <v>9.07</v>
      </c>
      <c r="S15" t="s">
        <v>222</v>
      </c>
      <c r="T15">
        <f>T12-T13</f>
        <v>1.8200000000000003</v>
      </c>
    </row>
    <row r="16" spans="1:21" ht="15" x14ac:dyDescent="0.25">
      <c r="A16" s="86">
        <v>45344</v>
      </c>
      <c r="B16" s="83" t="s">
        <v>136</v>
      </c>
      <c r="C16" s="84"/>
      <c r="D16" s="85">
        <v>9.0399999999999991</v>
      </c>
    </row>
    <row r="17" spans="1:10" ht="15" x14ac:dyDescent="0.25">
      <c r="A17" s="86">
        <v>45349</v>
      </c>
      <c r="B17" s="83" t="s">
        <v>137</v>
      </c>
      <c r="C17" s="84"/>
      <c r="D17" s="85">
        <v>9.01</v>
      </c>
    </row>
    <row r="18" spans="1:10" ht="15" x14ac:dyDescent="0.25">
      <c r="A18" s="88">
        <v>45350</v>
      </c>
      <c r="B18" s="89" t="s">
        <v>138</v>
      </c>
      <c r="C18" s="90"/>
      <c r="D18" s="91">
        <v>9.91</v>
      </c>
    </row>
    <row r="19" spans="1:10" ht="15" x14ac:dyDescent="0.25">
      <c r="C19" s="92" t="s">
        <v>139</v>
      </c>
      <c r="D19" s="92">
        <f>SUM(D4:D18)</f>
        <v>81.47999999999999</v>
      </c>
      <c r="J19">
        <f>J5+J6+J7+J8</f>
        <v>41.26</v>
      </c>
    </row>
    <row r="21" spans="1:10" ht="15" x14ac:dyDescent="0.25">
      <c r="A21" t="s">
        <v>144</v>
      </c>
      <c r="B21" s="93">
        <v>45358</v>
      </c>
      <c r="D21">
        <v>100</v>
      </c>
    </row>
    <row r="23" spans="1:10" ht="15" x14ac:dyDescent="0.25">
      <c r="A23" t="s">
        <v>145</v>
      </c>
      <c r="D23">
        <f>D21-D19</f>
        <v>18.52000000000001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selection activeCell="F18" sqref="F18"/>
    </sheetView>
  </sheetViews>
  <sheetFormatPr baseColWidth="10" defaultRowHeight="14.4" x14ac:dyDescent="0.3"/>
  <cols>
    <col min="1" max="1" width="17.5546875" customWidth="1"/>
  </cols>
  <sheetData>
    <row r="1" spans="1:10" x14ac:dyDescent="0.25">
      <c r="A1" t="s">
        <v>177</v>
      </c>
    </row>
    <row r="2" spans="1:10" x14ac:dyDescent="0.25">
      <c r="G2" t="s">
        <v>189</v>
      </c>
    </row>
    <row r="3" spans="1:10" x14ac:dyDescent="0.25">
      <c r="A3" s="114" t="s">
        <v>178</v>
      </c>
      <c r="E3" t="s">
        <v>183</v>
      </c>
      <c r="J3" t="s">
        <v>188</v>
      </c>
    </row>
    <row r="4" spans="1:10" x14ac:dyDescent="0.25">
      <c r="A4" s="114" t="s">
        <v>179</v>
      </c>
    </row>
    <row r="5" spans="1:10" x14ac:dyDescent="0.25">
      <c r="A5" s="114" t="s">
        <v>180</v>
      </c>
    </row>
    <row r="6" spans="1:10" x14ac:dyDescent="0.25">
      <c r="A6" s="114" t="s">
        <v>181</v>
      </c>
    </row>
    <row r="7" spans="1:10" x14ac:dyDescent="0.25">
      <c r="A7" s="114" t="s">
        <v>185</v>
      </c>
    </row>
    <row r="8" spans="1:10" x14ac:dyDescent="0.25">
      <c r="A8" t="s">
        <v>182</v>
      </c>
    </row>
    <row r="9" spans="1:10" x14ac:dyDescent="0.25">
      <c r="A9" t="s">
        <v>187</v>
      </c>
    </row>
    <row r="10" spans="1:10" x14ac:dyDescent="0.25">
      <c r="A10" t="s">
        <v>184</v>
      </c>
    </row>
    <row r="11" spans="1:10" x14ac:dyDescent="0.25">
      <c r="A11" s="114" t="s">
        <v>186</v>
      </c>
    </row>
    <row r="12" spans="1:10" x14ac:dyDescent="0.25">
      <c r="A12" s="114" t="s">
        <v>196</v>
      </c>
    </row>
    <row r="13" spans="1:10" x14ac:dyDescent="0.25">
      <c r="A13" t="s">
        <v>191</v>
      </c>
    </row>
    <row r="14" spans="1:10" x14ac:dyDescent="0.25">
      <c r="A14" t="s">
        <v>192</v>
      </c>
    </row>
    <row r="15" spans="1:10" x14ac:dyDescent="0.25">
      <c r="A15" t="s">
        <v>193</v>
      </c>
    </row>
    <row r="16" spans="1:10" x14ac:dyDescent="0.25">
      <c r="A16" t="s">
        <v>194</v>
      </c>
    </row>
    <row r="17" spans="1:1" x14ac:dyDescent="0.25">
      <c r="A17" t="s">
        <v>195</v>
      </c>
    </row>
    <row r="18" spans="1:1" x14ac:dyDescent="0.25">
      <c r="A18" t="s">
        <v>197</v>
      </c>
    </row>
    <row r="19" spans="1:1" x14ac:dyDescent="0.25">
      <c r="A19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RESUMEN</vt:lpstr>
      <vt:lpstr>GASTOS VARIOS</vt:lpstr>
      <vt:lpstr>DOCENTES Y CLASES </vt:lpstr>
      <vt:lpstr>TALLERES </vt:lpstr>
      <vt:lpstr>ALQUILER DE SALA</vt:lpstr>
      <vt:lpstr>ALUMNAS </vt:lpstr>
      <vt:lpstr>Hoja2</vt:lpstr>
      <vt:lpstr>ARANCELES</vt:lpstr>
      <vt:lpstr>OPCIONES</vt:lpstr>
      <vt:lpstr>PUBLICIDAD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Yaneiska del Carmen Belandria Rodriguez</dc:creator>
  <cp:lastModifiedBy>yaneiska belandria rodriguez</cp:lastModifiedBy>
  <dcterms:created xsi:type="dcterms:W3CDTF">2024-01-18T14:25:44Z</dcterms:created>
  <dcterms:modified xsi:type="dcterms:W3CDTF">2026-05-03T21:24:20Z</dcterms:modified>
</cp:coreProperties>
</file>